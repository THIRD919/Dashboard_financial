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ninu/Desktop/Project_codex/รายงานการเงินอัตโนมัติ/Output/2026-07-13/xlsx/"/>
    </mc:Choice>
  </mc:AlternateContent>
  <xr:revisionPtr revIDLastSave="0" documentId="13_ncr:1_{F903213F-EB66-2245-8FB6-32F46392E504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Dashboard" sheetId="1" r:id="rId1"/>
    <sheet name="งบดุล" sheetId="2" r:id="rId2"/>
    <sheet name="รายรับรายจ่ายกำไร" sheetId="3" r:id="rId3"/>
    <sheet name="รายรับรายจ่ายกำไร_ย่อย" sheetId="4" r:id="rId4"/>
    <sheet name="ประมาณการรายรับกับรายรับจริง_รว" sheetId="5" r:id="rId5"/>
    <sheet name="ประมาณการรายรับกับรายรับจริง_แย" sheetId="6" r:id="rId6"/>
    <sheet name="ประมาณการรายจ่ายกับรายจ่ายจริงร" sheetId="7" r:id="rId7"/>
    <sheet name="ประมาณการรายจ่ายกับรายจ่ายจริงแ" sheetId="8" r:id="rId8"/>
    <sheet name="งบประมาณแผ่นดิน" sheetId="9" r:id="rId9"/>
    <sheet name="งบแผ่นดินแยกหมวด" sheetId="10" r:id="rId10"/>
    <sheet name="Data_Audit" sheetId="11" r:id="rId11"/>
    <sheet name="Data_Clean" sheetId="12" r:id="rId12"/>
    <sheet name="Dashboard_Data" sheetId="13" r:id="rId13"/>
    <sheet name="Config" sheetId="14" r:id="rId14"/>
    <sheet name="README" sheetId="15" r:id="rId15"/>
    <sheet name="Financial_Analysis" sheetId="16" r:id="rId16"/>
    <sheet name="Unit_Performance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3" l="1"/>
  <c r="B5" i="16" s="1"/>
  <c r="C20" i="17"/>
  <c r="C19" i="17"/>
  <c r="C18" i="17"/>
  <c r="D17" i="17"/>
  <c r="C17" i="17"/>
  <c r="F14" i="17"/>
  <c r="C14" i="17"/>
  <c r="H14" i="17" s="1"/>
  <c r="B14" i="17"/>
  <c r="G14" i="17" s="1"/>
  <c r="A14" i="17"/>
  <c r="F13" i="17"/>
  <c r="C13" i="17"/>
  <c r="H13" i="17" s="1"/>
  <c r="B13" i="17"/>
  <c r="G13" i="17" s="1"/>
  <c r="A13" i="17"/>
  <c r="F12" i="17"/>
  <c r="C12" i="17"/>
  <c r="H12" i="17" s="1"/>
  <c r="B12" i="17"/>
  <c r="G12" i="17" s="1"/>
  <c r="A12" i="17"/>
  <c r="F11" i="17"/>
  <c r="C11" i="17"/>
  <c r="H11" i="17" s="1"/>
  <c r="B11" i="17"/>
  <c r="G11" i="17" s="1"/>
  <c r="A11" i="17"/>
  <c r="F10" i="17"/>
  <c r="C10" i="17"/>
  <c r="H10" i="17" s="1"/>
  <c r="B10" i="17"/>
  <c r="G10" i="17" s="1"/>
  <c r="A10" i="17"/>
  <c r="F9" i="17"/>
  <c r="C9" i="17"/>
  <c r="H9" i="17" s="1"/>
  <c r="B9" i="17"/>
  <c r="G9" i="17" s="1"/>
  <c r="A9" i="17"/>
  <c r="F8" i="17"/>
  <c r="C8" i="17"/>
  <c r="H8" i="17" s="1"/>
  <c r="B8" i="17"/>
  <c r="G8" i="17" s="1"/>
  <c r="A8" i="17"/>
  <c r="F7" i="17"/>
  <c r="C7" i="17"/>
  <c r="H7" i="17" s="1"/>
  <c r="B7" i="17"/>
  <c r="G7" i="17" s="1"/>
  <c r="A7" i="17"/>
  <c r="F6" i="17"/>
  <c r="C6" i="17"/>
  <c r="H6" i="17" s="1"/>
  <c r="B6" i="17"/>
  <c r="G6" i="17" s="1"/>
  <c r="A6" i="17"/>
  <c r="F5" i="17"/>
  <c r="C5" i="17"/>
  <c r="H5" i="17" s="1"/>
  <c r="B5" i="17"/>
  <c r="G5" i="17" s="1"/>
  <c r="A5" i="17"/>
  <c r="F4" i="17"/>
  <c r="C4" i="17"/>
  <c r="B18" i="17" s="1"/>
  <c r="B4" i="17"/>
  <c r="B17" i="17" s="1"/>
  <c r="A4" i="17"/>
  <c r="F23" i="16"/>
  <c r="E23" i="16"/>
  <c r="C23" i="16"/>
  <c r="B23" i="16"/>
  <c r="A23" i="16"/>
  <c r="F22" i="16"/>
  <c r="E22" i="16"/>
  <c r="C22" i="16"/>
  <c r="B22" i="16"/>
  <c r="A22" i="16"/>
  <c r="F21" i="16"/>
  <c r="E21" i="16"/>
  <c r="C21" i="16"/>
  <c r="B21" i="16"/>
  <c r="A21" i="16"/>
  <c r="F20" i="16"/>
  <c r="E20" i="16"/>
  <c r="C20" i="16"/>
  <c r="B20" i="16"/>
  <c r="A20" i="16"/>
  <c r="F19" i="16"/>
  <c r="E19" i="16"/>
  <c r="D19" i="16"/>
  <c r="C19" i="16"/>
  <c r="B19" i="16"/>
  <c r="A19" i="16"/>
  <c r="F18" i="16"/>
  <c r="E18" i="16"/>
  <c r="C18" i="16"/>
  <c r="B18" i="16"/>
  <c r="A18" i="16"/>
  <c r="F17" i="16"/>
  <c r="E17" i="16"/>
  <c r="C17" i="16"/>
  <c r="B17" i="16"/>
  <c r="A17" i="16"/>
  <c r="F16" i="16"/>
  <c r="E16" i="16"/>
  <c r="C16" i="16"/>
  <c r="B16" i="16"/>
  <c r="A16" i="16"/>
  <c r="F15" i="16"/>
  <c r="E15" i="16"/>
  <c r="C15" i="16"/>
  <c r="B15" i="16"/>
  <c r="A15" i="16"/>
  <c r="F14" i="16"/>
  <c r="E14" i="16"/>
  <c r="C14" i="16"/>
  <c r="B14" i="16"/>
  <c r="A14" i="16"/>
  <c r="F13" i="16"/>
  <c r="E13" i="16"/>
  <c r="C13" i="16"/>
  <c r="B13" i="16"/>
  <c r="A13" i="16"/>
  <c r="F12" i="16"/>
  <c r="E12" i="16"/>
  <c r="D12" i="16"/>
  <c r="C12" i="16"/>
  <c r="B12" i="16"/>
  <c r="A12" i="16"/>
  <c r="A8" i="16"/>
  <c r="A7" i="16"/>
  <c r="A6" i="16"/>
  <c r="A5" i="16"/>
  <c r="F4" i="16"/>
  <c r="E4" i="16"/>
  <c r="D4" i="16"/>
  <c r="C4" i="16"/>
  <c r="B4" i="16"/>
  <c r="A4" i="16"/>
  <c r="B14" i="13"/>
  <c r="B13" i="13"/>
  <c r="B11" i="13"/>
  <c r="B10" i="13"/>
  <c r="F7" i="13"/>
  <c r="C8" i="16" s="1"/>
  <c r="E7" i="13"/>
  <c r="B8" i="16" s="1"/>
  <c r="G6" i="13"/>
  <c r="D7" i="16" s="1"/>
  <c r="E7" i="16" s="1"/>
  <c r="F6" i="13"/>
  <c r="C7" i="16" s="1"/>
  <c r="E6" i="13"/>
  <c r="B7" i="16" s="1"/>
  <c r="K5" i="13"/>
  <c r="J5" i="13"/>
  <c r="G5" i="13"/>
  <c r="D6" i="16" s="1"/>
  <c r="F5" i="13"/>
  <c r="C6" i="16" s="1"/>
  <c r="E5" i="13"/>
  <c r="B6" i="16" s="1"/>
  <c r="B5" i="13"/>
  <c r="K4" i="13"/>
  <c r="J4" i="13"/>
  <c r="F4" i="13"/>
  <c r="C5" i="16" s="1"/>
  <c r="B4" i="13"/>
  <c r="K97" i="12"/>
  <c r="B16" i="13" s="1"/>
  <c r="K96" i="12"/>
  <c r="I31" i="1" s="1"/>
  <c r="K95" i="12"/>
  <c r="E95" i="12"/>
  <c r="K94" i="12"/>
  <c r="E94" i="12"/>
  <c r="K93" i="12"/>
  <c r="E93" i="12"/>
  <c r="K92" i="12"/>
  <c r="E92" i="12"/>
  <c r="E91" i="12"/>
  <c r="K90" i="12"/>
  <c r="E90" i="12"/>
  <c r="K89" i="12"/>
  <c r="E89" i="12"/>
  <c r="K88" i="12"/>
  <c r="E88" i="12"/>
  <c r="K87" i="12"/>
  <c r="E87" i="12"/>
  <c r="K86" i="12"/>
  <c r="E86" i="12"/>
  <c r="K85" i="12"/>
  <c r="E85" i="12"/>
  <c r="K84" i="12"/>
  <c r="E84" i="12"/>
  <c r="K83" i="12"/>
  <c r="E83" i="12"/>
  <c r="K82" i="12"/>
  <c r="E82" i="12"/>
  <c r="K81" i="12"/>
  <c r="E81" i="12"/>
  <c r="K80" i="12"/>
  <c r="E80" i="12"/>
  <c r="K79" i="12"/>
  <c r="E79" i="12"/>
  <c r="K78" i="12"/>
  <c r="E78" i="12"/>
  <c r="E77" i="12"/>
  <c r="K76" i="12"/>
  <c r="E76" i="12"/>
  <c r="K75" i="12"/>
  <c r="E75" i="12"/>
  <c r="K74" i="12"/>
  <c r="E74" i="12"/>
  <c r="K73" i="12"/>
  <c r="E73" i="12"/>
  <c r="K72" i="12"/>
  <c r="E72" i="12"/>
  <c r="K71" i="12"/>
  <c r="E71" i="12"/>
  <c r="E70" i="12"/>
  <c r="K69" i="12"/>
  <c r="E69" i="12"/>
  <c r="K68" i="12"/>
  <c r="E68" i="12"/>
  <c r="K67" i="12"/>
  <c r="E67" i="12"/>
  <c r="K66" i="12"/>
  <c r="E66" i="12"/>
  <c r="K65" i="12"/>
  <c r="E65" i="12"/>
  <c r="K64" i="12"/>
  <c r="E64" i="12"/>
  <c r="K63" i="12"/>
  <c r="E63" i="12"/>
  <c r="K62" i="12"/>
  <c r="E62" i="12"/>
  <c r="K61" i="12"/>
  <c r="E61" i="12"/>
  <c r="K60" i="12"/>
  <c r="E60" i="12"/>
  <c r="K59" i="12"/>
  <c r="E59" i="12"/>
  <c r="K58" i="12"/>
  <c r="E58" i="12"/>
  <c r="K57" i="12"/>
  <c r="E57" i="12"/>
  <c r="K56" i="12"/>
  <c r="E56" i="12"/>
  <c r="K55" i="12"/>
  <c r="E55" i="12"/>
  <c r="K54" i="12"/>
  <c r="E54" i="12"/>
  <c r="K53" i="12"/>
  <c r="E53" i="12"/>
  <c r="K52" i="12"/>
  <c r="E52" i="12"/>
  <c r="K51" i="12"/>
  <c r="E51" i="12"/>
  <c r="K50" i="12"/>
  <c r="E50" i="12"/>
  <c r="E49" i="12"/>
  <c r="K48" i="12"/>
  <c r="E48" i="12"/>
  <c r="K47" i="12"/>
  <c r="E47" i="12"/>
  <c r="K46" i="12"/>
  <c r="E46" i="12"/>
  <c r="K45" i="12"/>
  <c r="E45" i="12"/>
  <c r="K44" i="12"/>
  <c r="E44" i="12"/>
  <c r="K43" i="12"/>
  <c r="E43" i="12"/>
  <c r="E42" i="12"/>
  <c r="K41" i="12"/>
  <c r="E41" i="12"/>
  <c r="K40" i="12"/>
  <c r="E40" i="12"/>
  <c r="K39" i="12"/>
  <c r="E39" i="12"/>
  <c r="K38" i="12"/>
  <c r="E38" i="12"/>
  <c r="K37" i="12"/>
  <c r="E37" i="12"/>
  <c r="K36" i="12"/>
  <c r="E36" i="12"/>
  <c r="K35" i="12"/>
  <c r="E35" i="12"/>
  <c r="K34" i="12"/>
  <c r="E34" i="12"/>
  <c r="K33" i="12"/>
  <c r="E33" i="12"/>
  <c r="K32" i="12"/>
  <c r="E32" i="12"/>
  <c r="K31" i="12"/>
  <c r="E31" i="12"/>
  <c r="K30" i="12"/>
  <c r="E30" i="12"/>
  <c r="K29" i="12"/>
  <c r="E29" i="12"/>
  <c r="K28" i="12"/>
  <c r="E28" i="12"/>
  <c r="K27" i="12"/>
  <c r="E27" i="12"/>
  <c r="K26" i="12"/>
  <c r="E26" i="12"/>
  <c r="K25" i="12"/>
  <c r="E25" i="12"/>
  <c r="K24" i="12"/>
  <c r="E24" i="12"/>
  <c r="K23" i="12"/>
  <c r="E23" i="12"/>
  <c r="K22" i="12"/>
  <c r="E22" i="12"/>
  <c r="E21" i="12"/>
  <c r="K20" i="12"/>
  <c r="E20" i="12"/>
  <c r="K19" i="12"/>
  <c r="E19" i="12"/>
  <c r="K17" i="12"/>
  <c r="K16" i="12"/>
  <c r="K15" i="12"/>
  <c r="K14" i="12"/>
  <c r="K13" i="12"/>
  <c r="K12" i="12"/>
  <c r="K11" i="12"/>
  <c r="K8" i="12"/>
  <c r="K7" i="12"/>
  <c r="K6" i="12"/>
  <c r="B9" i="13" s="1"/>
  <c r="K5" i="12"/>
  <c r="K4" i="12"/>
  <c r="K3" i="12"/>
  <c r="D3" i="10"/>
  <c r="D2" i="10"/>
  <c r="D2" i="9"/>
  <c r="D12" i="8"/>
  <c r="D11" i="8"/>
  <c r="D10" i="8"/>
  <c r="D9" i="8"/>
  <c r="D7" i="8"/>
  <c r="D6" i="8"/>
  <c r="D5" i="8"/>
  <c r="D4" i="8"/>
  <c r="D3" i="8"/>
  <c r="D2" i="8"/>
  <c r="D2" i="7"/>
  <c r="D12" i="6"/>
  <c r="D23" i="16" s="1"/>
  <c r="D11" i="6"/>
  <c r="D22" i="16" s="1"/>
  <c r="D10" i="6"/>
  <c r="D21" i="16" s="1"/>
  <c r="D9" i="6"/>
  <c r="D20" i="16" s="1"/>
  <c r="D7" i="6"/>
  <c r="D18" i="16" s="1"/>
  <c r="D6" i="6"/>
  <c r="D17" i="16" s="1"/>
  <c r="D5" i="6"/>
  <c r="D16" i="16" s="1"/>
  <c r="D4" i="6"/>
  <c r="D15" i="16" s="1"/>
  <c r="D3" i="6"/>
  <c r="D14" i="16" s="1"/>
  <c r="D2" i="6"/>
  <c r="D13" i="16" s="1"/>
  <c r="D2" i="5"/>
  <c r="D12" i="4"/>
  <c r="D14" i="17" s="1"/>
  <c r="E14" i="17" s="1"/>
  <c r="F11" i="4"/>
  <c r="E40" i="1" s="1"/>
  <c r="D11" i="4"/>
  <c r="D13" i="17" s="1"/>
  <c r="E13" i="17" s="1"/>
  <c r="F10" i="4"/>
  <c r="E39" i="1" s="1"/>
  <c r="D10" i="4"/>
  <c r="D12" i="17" s="1"/>
  <c r="E12" i="17" s="1"/>
  <c r="F9" i="4"/>
  <c r="E38" i="1" s="1"/>
  <c r="D9" i="4"/>
  <c r="D11" i="17" s="1"/>
  <c r="E11" i="17" s="1"/>
  <c r="D8" i="4"/>
  <c r="D10" i="17" s="1"/>
  <c r="E10" i="17" s="1"/>
  <c r="F7" i="4"/>
  <c r="D7" i="4"/>
  <c r="D9" i="17" s="1"/>
  <c r="E9" i="17" s="1"/>
  <c r="F6" i="4"/>
  <c r="E35" i="1" s="1"/>
  <c r="D6" i="4"/>
  <c r="D8" i="17" s="1"/>
  <c r="E8" i="17" s="1"/>
  <c r="F5" i="4"/>
  <c r="E34" i="1" s="1"/>
  <c r="D5" i="4"/>
  <c r="D7" i="17" s="1"/>
  <c r="E7" i="17" s="1"/>
  <c r="F4" i="4"/>
  <c r="D4" i="4"/>
  <c r="D6" i="17" s="1"/>
  <c r="E6" i="17" s="1"/>
  <c r="F3" i="4"/>
  <c r="D3" i="4"/>
  <c r="D5" i="17" s="1"/>
  <c r="E5" i="17" s="1"/>
  <c r="F2" i="4"/>
  <c r="E31" i="1" s="1"/>
  <c r="D2" i="4"/>
  <c r="D4" i="17" s="1"/>
  <c r="F5" i="3"/>
  <c r="D5" i="3"/>
  <c r="G4" i="13" s="1"/>
  <c r="F4" i="3"/>
  <c r="D4" i="3"/>
  <c r="F3" i="3"/>
  <c r="D3" i="3"/>
  <c r="K9" i="12" s="1"/>
  <c r="F2" i="3"/>
  <c r="D2" i="3"/>
  <c r="G7" i="13" s="1"/>
  <c r="F5" i="2"/>
  <c r="K18" i="12" s="1"/>
  <c r="F4" i="2"/>
  <c r="F3" i="2"/>
  <c r="K10" i="12" s="1"/>
  <c r="F2" i="2"/>
  <c r="E41" i="1"/>
  <c r="D41" i="1"/>
  <c r="C41" i="1"/>
  <c r="B41" i="1"/>
  <c r="A41" i="1"/>
  <c r="C40" i="1"/>
  <c r="B40" i="1"/>
  <c r="A40" i="1"/>
  <c r="C39" i="1"/>
  <c r="B39" i="1"/>
  <c r="A39" i="1"/>
  <c r="D38" i="1"/>
  <c r="C38" i="1"/>
  <c r="B38" i="1"/>
  <c r="A38" i="1"/>
  <c r="E37" i="1"/>
  <c r="D37" i="1"/>
  <c r="C37" i="1"/>
  <c r="B37" i="1"/>
  <c r="A37" i="1"/>
  <c r="E36" i="1"/>
  <c r="D36" i="1"/>
  <c r="C36" i="1"/>
  <c r="B36" i="1"/>
  <c r="A36" i="1"/>
  <c r="C35" i="1"/>
  <c r="B35" i="1"/>
  <c r="A35" i="1"/>
  <c r="D34" i="1"/>
  <c r="C34" i="1"/>
  <c r="B34" i="1"/>
  <c r="A34" i="1"/>
  <c r="E33" i="1"/>
  <c r="D33" i="1"/>
  <c r="C33" i="1"/>
  <c r="B33" i="1"/>
  <c r="A33" i="1"/>
  <c r="I32" i="1"/>
  <c r="E32" i="1"/>
  <c r="D32" i="1"/>
  <c r="C32" i="1"/>
  <c r="B32" i="1"/>
  <c r="A32" i="1"/>
  <c r="C31" i="1"/>
  <c r="B31" i="1"/>
  <c r="A31" i="1"/>
  <c r="E30" i="1"/>
  <c r="D30" i="1"/>
  <c r="C30" i="1"/>
  <c r="B30" i="1"/>
  <c r="A30" i="1"/>
  <c r="C18" i="1"/>
  <c r="B18" i="1"/>
  <c r="A18" i="1"/>
  <c r="B17" i="1"/>
  <c r="A17" i="1"/>
  <c r="J16" i="1"/>
  <c r="I16" i="1"/>
  <c r="H16" i="1"/>
  <c r="C16" i="1"/>
  <c r="A16" i="1"/>
  <c r="J15" i="1"/>
  <c r="I15" i="1"/>
  <c r="H15" i="1"/>
  <c r="A15" i="1"/>
  <c r="J14" i="1"/>
  <c r="I14" i="1"/>
  <c r="H14" i="1"/>
  <c r="D14" i="1"/>
  <c r="C14" i="1"/>
  <c r="B14" i="1"/>
  <c r="A14" i="1"/>
  <c r="C7" i="1"/>
  <c r="B7" i="1"/>
  <c r="A7" i="1"/>
  <c r="A3" i="1"/>
  <c r="B15" i="13" l="1"/>
  <c r="F7" i="1" s="1"/>
  <c r="B6" i="13"/>
  <c r="B8" i="13"/>
  <c r="I5" i="16"/>
  <c r="J5" i="16" s="1"/>
  <c r="I6" i="16"/>
  <c r="J6" i="16" s="1"/>
  <c r="D5" i="16"/>
  <c r="E5" i="16" s="1"/>
  <c r="D15" i="1"/>
  <c r="I33" i="1"/>
  <c r="J33" i="1" s="1"/>
  <c r="F8" i="16"/>
  <c r="D20" i="17"/>
  <c r="B20" i="17"/>
  <c r="D19" i="17"/>
  <c r="B19" i="17"/>
  <c r="E4" i="17"/>
  <c r="B7" i="13"/>
  <c r="I9" i="1" s="1"/>
  <c r="G9" i="1"/>
  <c r="F6" i="16"/>
  <c r="D8" i="16"/>
  <c r="E8" i="16" s="1"/>
  <c r="D18" i="1"/>
  <c r="I34" i="1"/>
  <c r="J34" i="1" s="1"/>
  <c r="A9" i="1"/>
  <c r="D7" i="1"/>
  <c r="E6" i="16"/>
  <c r="F5" i="16"/>
  <c r="F7" i="16"/>
  <c r="C9" i="1"/>
  <c r="D39" i="1"/>
  <c r="K77" i="12"/>
  <c r="B16" i="1"/>
  <c r="C17" i="1"/>
  <c r="D35" i="1"/>
  <c r="K42" i="12"/>
  <c r="K70" i="12"/>
  <c r="E9" i="1"/>
  <c r="D31" i="1"/>
  <c r="K21" i="12"/>
  <c r="K49" i="12"/>
  <c r="B15" i="1"/>
  <c r="D18" i="17"/>
  <c r="D17" i="1"/>
  <c r="D40" i="1"/>
  <c r="C15" i="1"/>
  <c r="D16" i="1"/>
  <c r="K91" i="12"/>
  <c r="G4" i="17"/>
  <c r="H4" i="17"/>
  <c r="B12" i="13"/>
  <c r="E7" i="1" l="1"/>
  <c r="K9" i="1"/>
</calcChain>
</file>

<file path=xl/sharedStrings.xml><?xml version="1.0" encoding="utf-8"?>
<sst xmlns="http://schemas.openxmlformats.org/spreadsheetml/2006/main" count="927" uniqueCount="212">
  <si>
    <t>Quarter (A)</t>
  </si>
  <si>
    <t xml:space="preserve">Current Assets </t>
  </si>
  <si>
    <t xml:space="preserve">Non-Current Assets </t>
  </si>
  <si>
    <t>Liabilities</t>
  </si>
  <si>
    <t xml:space="preserve">Financial Liquidity </t>
  </si>
  <si>
    <t>proportion</t>
  </si>
  <si>
    <t>Q2/69</t>
  </si>
  <si>
    <t>0.35 : 1</t>
  </si>
  <si>
    <t>Q1/69</t>
  </si>
  <si>
    <t>0.42 : 1</t>
  </si>
  <si>
    <t>Q4/68</t>
  </si>
  <si>
    <t>0.50 : 1</t>
  </si>
  <si>
    <t>Q3/68</t>
  </si>
  <si>
    <t>Revenue (B)</t>
  </si>
  <si>
    <t>Expenses (C)</t>
  </si>
  <si>
    <t>Net Profit (D)</t>
  </si>
  <si>
    <t>Current_Ratio (E)</t>
  </si>
  <si>
    <t>1.27 : 1</t>
  </si>
  <si>
    <t>0.90 : 1</t>
  </si>
  <si>
    <t>1.02 : 1</t>
  </si>
  <si>
    <t>1.07 : 1</t>
  </si>
  <si>
    <t>Sub-unit (A)</t>
  </si>
  <si>
    <t>สำนักงาน คณะสัตวแพทยศาสตร์</t>
  </si>
  <si>
    <t>1.29 : 1</t>
  </si>
  <si>
    <t>ศูนย์การเรียนรู้และส่งเสริมสุขภาพสัตว์ภาคเหนือ(NOVEL)</t>
  </si>
  <si>
    <t>1.28 : 1</t>
  </si>
  <si>
    <t>(โรงพยาบาลสัตว์แม่ออน)</t>
  </si>
  <si>
    <t>1.17 : 1</t>
  </si>
  <si>
    <t>โรงพยาบาลสัตว์ใหญ่และปศุสัตว์</t>
  </si>
  <si>
    <t>1.01 : 1</t>
  </si>
  <si>
    <t>ศูนย์สุขภาพช้างและสัตว์ป่า</t>
  </si>
  <si>
    <t>2.64 : 1</t>
  </si>
  <si>
    <t>ศูนย์ชันเวชศาสตร์ชันสูตรและนวัตกรรมด้านสุขภาพสัตว์</t>
  </si>
  <si>
    <t>1 : 1</t>
  </si>
  <si>
    <t>ศูนย์ความเป็นเลิศด้านเวชศาสตร์แมว</t>
  </si>
  <si>
    <t>Pet CMU (กลุ่มงานบ่มเพาะวิสาหกิจทางสัตวแพทย์)</t>
  </si>
  <si>
    <t>1.77 : 1</t>
  </si>
  <si>
    <t>ศูนย์สัตวแพทย์สาธารณสุขและอาหารปลอดภัยเอเชียแปซิฟิก</t>
  </si>
  <si>
    <t>0.06 : 1</t>
  </si>
  <si>
    <t>ศูนย์เฝ้าระวังสุขภาพหนึ่งเดียว PODD</t>
  </si>
  <si>
    <t>0.45 : 1</t>
  </si>
  <si>
    <t>สำนักงานโรงพยาบาลสัตว์(ศรีบัวบาน)</t>
  </si>
  <si>
    <t>คณะสัตวแพทย์</t>
  </si>
  <si>
    <t>Budgeted Revenue</t>
  </si>
  <si>
    <t>Revenue Q2</t>
  </si>
  <si>
    <t>Percentage(%)</t>
  </si>
  <si>
    <t>Total</t>
  </si>
  <si>
    <t xml:space="preserve">Budgeted Expenses </t>
  </si>
  <si>
    <t>Expenses Q2</t>
  </si>
  <si>
    <t>Equipments</t>
  </si>
  <si>
    <t>Construction</t>
  </si>
  <si>
    <t>Financial Monitoring Dashboard</t>
  </si>
  <si>
    <t>คณะสัตวแพทยศาสตร์ มหาวิทยาลัยเชียงใหม่ | Executive Financial Dashboard</t>
  </si>
  <si>
    <t>Interactive controls — edit selections in Config (dropdowns)</t>
  </si>
  <si>
    <t>Fiscal Year</t>
  </si>
  <si>
    <t>Quarter</t>
  </si>
  <si>
    <t>Unit</t>
  </si>
  <si>
    <t>Liquidity status</t>
  </si>
  <si>
    <t>Revenue achievement</t>
  </si>
  <si>
    <t>Expense utilization</t>
  </si>
  <si>
    <t>Financial Liquidity</t>
  </si>
  <si>
    <t>Total Revenue</t>
  </si>
  <si>
    <t>Total Expense</t>
  </si>
  <si>
    <t>Operating Result</t>
  </si>
  <si>
    <t>Operating Margin</t>
  </si>
  <si>
    <t>Budget Achievement</t>
  </si>
  <si>
    <t>Revenue, Expense &amp; Operating Result Trend (ล้านบาท)</t>
  </si>
  <si>
    <t>Budget vs Actual (ล้านบาท)</t>
  </si>
  <si>
    <t>Performance by Unit — Q2/69</t>
  </si>
  <si>
    <t>Government Budget &amp; Liquidity</t>
  </si>
  <si>
    <t>Metric</t>
  </si>
  <si>
    <t>Value</t>
  </si>
  <si>
    <t>Status</t>
  </si>
  <si>
    <t>Government Budget</t>
  </si>
  <si>
    <t>Government Actual</t>
  </si>
  <si>
    <t>Budget Utilization</t>
  </si>
  <si>
    <t>Liquidity</t>
  </si>
  <si>
    <t>Management note</t>
  </si>
  <si>
    <t>Thresholds may be edited in Config</t>
  </si>
  <si>
    <t>Data Audit — Vet CMU Financial Workbook</t>
  </si>
  <si>
    <t>Worksheet</t>
  </si>
  <si>
    <t>Used Range</t>
  </si>
  <si>
    <t>Rows</t>
  </si>
  <si>
    <t>Columns</t>
  </si>
  <si>
    <t>Primary data</t>
  </si>
  <si>
    <t>Time level</t>
  </si>
  <si>
    <t>Issues found</t>
  </si>
  <si>
    <t>Dashboard source</t>
  </si>
  <si>
    <t>Dashboard</t>
  </si>
  <si>
    <t>B2:D4</t>
  </si>
  <si>
    <t>Blank placeholder dashboard</t>
  </si>
  <si>
    <t>N/A</t>
  </si>
  <si>
    <t>Blank source dashboard sheet</t>
  </si>
  <si>
    <t>Rebuilt as Executive Dashboard</t>
  </si>
  <si>
    <t>งบดุล</t>
  </si>
  <si>
    <t>A1:F5</t>
  </si>
  <si>
    <t>Assets, liabilities, financial liquidity</t>
  </si>
  <si>
    <t>Quarter (Q3/68–Q2/69)</t>
  </si>
  <si>
    <t>Liquidity text plus numeric proportion; one formula</t>
  </si>
  <si>
    <t>Liquidity KPI and trend</t>
  </si>
  <si>
    <t>รายรับรายจ่ายกำไร</t>
  </si>
  <si>
    <t>Revenue, expenses, net profit</t>
  </si>
  <si>
    <t>Period stored newest-first; one formula</t>
  </si>
  <si>
    <t>Financial trend and KPIs</t>
  </si>
  <si>
    <t>รายรับรายจ่ายกำไร_ย่อย</t>
  </si>
  <si>
    <t>A1:F12</t>
  </si>
  <si>
    <t>Revenue / expense by sub-unit</t>
  </si>
  <si>
    <t>Q2/69 snapshot</t>
  </si>
  <si>
    <t>Zero-value units; ratio is revenue / expense</t>
  </si>
  <si>
    <t>Unit performance</t>
  </si>
  <si>
    <t>ประมาณการรายรับกับรายรับจริง_รว</t>
  </si>
  <si>
    <t>A1:D2</t>
  </si>
  <si>
    <t>Faculty revenue budget vs actual</t>
  </si>
  <si>
    <t>Percentage formula evaluates #NAME? in current engine</t>
  </si>
  <si>
    <t>Revenue budget KPI (source values used)</t>
  </si>
  <si>
    <t>ประมาณการรายรับกับรายรับจริง_แย</t>
  </si>
  <si>
    <t>A1:D12</t>
  </si>
  <si>
    <t>Unit revenue budget vs actual</t>
  </si>
  <si>
    <t>Zero budgets exist; use IFERROR</t>
  </si>
  <si>
    <t>Unit budget achievement</t>
  </si>
  <si>
    <t>ประมาณการรายจ่ายกับรายจ่ายจริงร</t>
  </si>
  <si>
    <t>Faculty expense budget vs actual</t>
  </si>
  <si>
    <t>Header says Revenue although values are expenses; percentage #NAME?</t>
  </si>
  <si>
    <t>Expense utilization KPI</t>
  </si>
  <si>
    <t>ประมาณการรายจ่ายกับรายจ่ายจริงแ</t>
  </si>
  <si>
    <t>Unit expense budget vs actual</t>
  </si>
  <si>
    <t>Unit expense utilization</t>
  </si>
  <si>
    <t>งบประมาณแผ่นดิน</t>
  </si>
  <si>
    <t>Government budget and spend</t>
  </si>
  <si>
    <t>Government budget KPI</t>
  </si>
  <si>
    <t>งบแผ่นดินแยกหมวด</t>
  </si>
  <si>
    <t>A1:D3</t>
  </si>
  <si>
    <t>Equipment and construction budget</t>
  </si>
  <si>
    <t>Percentage formulas evaluate #NAME? in current engine</t>
  </si>
  <si>
    <t>Government budget detail</t>
  </si>
  <si>
    <t>Data_Clean — Standardized Financial Facts (formula-linked to original sheets)</t>
  </si>
  <si>
    <t>FiscalYear</t>
  </si>
  <si>
    <t>Month</t>
  </si>
  <si>
    <t>MonthNo</t>
  </si>
  <si>
    <t>Category</t>
  </si>
  <si>
    <t>Subcategory</t>
  </si>
  <si>
    <t>Budget</t>
  </si>
  <si>
    <t>Actual</t>
  </si>
  <si>
    <t>Amount</t>
  </si>
  <si>
    <t>SourceSheet</t>
  </si>
  <si>
    <t>Q2</t>
  </si>
  <si>
    <t>ทั้งหมด</t>
  </si>
  <si>
    <t>Operating</t>
  </si>
  <si>
    <t>Revenue</t>
  </si>
  <si>
    <t>Expense</t>
  </si>
  <si>
    <t>Balance Sheet</t>
  </si>
  <si>
    <t>Q1</t>
  </si>
  <si>
    <t>Q4</t>
  </si>
  <si>
    <t>Q3</t>
  </si>
  <si>
    <t>Revenue Budget</t>
  </si>
  <si>
    <t>Revenue Actual</t>
  </si>
  <si>
    <t>Expense Budget</t>
  </si>
  <si>
    <t>Expense Actual</t>
  </si>
  <si>
    <t>Dashboard_Data — Formula-Driven KPI and Chart Helper</t>
  </si>
  <si>
    <t>KPI</t>
  </si>
  <si>
    <t>Period</t>
  </si>
  <si>
    <t>Budget vs Actual</t>
  </si>
  <si>
    <t>Expense-to-Revenue Ratio</t>
  </si>
  <si>
    <t>Revenue Achievement</t>
  </si>
  <si>
    <t>Expense Utilization</t>
  </si>
  <si>
    <t>Government Budget Utilization</t>
  </si>
  <si>
    <t>Configuration &amp; Interactive Filters</t>
  </si>
  <si>
    <t>Filter / setting</t>
  </si>
  <si>
    <t>Selected value</t>
  </si>
  <si>
    <t>Available fiscal years</t>
  </si>
  <si>
    <t>Available quarters</t>
  </si>
  <si>
    <t>Refresh Date</t>
  </si>
  <si>
    <t>Notes</t>
  </si>
  <si>
    <t>Liquidity watch threshold — PLACEHOLDER (management to approve)</t>
  </si>
  <si>
    <t>Liquidity good threshold — PLACEHOLDER (management to approve)</t>
  </si>
  <si>
    <t>How to use</t>
  </si>
  <si>
    <t>Revenue achievement target — PLACEHOLDER (management to approve)</t>
  </si>
  <si>
    <t>Change B4:B6 to update formula-driven KPIs and tables.</t>
  </si>
  <si>
    <t>Expense utilization target — PLACEHOLDER (management to approve)</t>
  </si>
  <si>
    <t>Use Excel table filters in Data_Clean for detailed analysis.</t>
  </si>
  <si>
    <t>Thresholds are management placeholders and may be edited.</t>
  </si>
  <si>
    <t>README — Vet CMU Interactive Financial Dashboard</t>
  </si>
  <si>
    <t>Topic</t>
  </si>
  <si>
    <t>Description</t>
  </si>
  <si>
    <t>Purpose</t>
  </si>
  <si>
    <t>Executive financial monitoring using the actual workbook structure identified in Data_Audit.</t>
  </si>
  <si>
    <t>Source preservation</t>
  </si>
  <si>
    <t>All 10 original source sheets are retained. No original source formula or raw data was changed.</t>
  </si>
  <si>
    <t>KPI data</t>
  </si>
  <si>
    <t>All displayed KPI amounts and percentages are formula-linked to actual values in original sheets via Data_Clean and Dashboard_Data. No illustrative or sample KPI values are used.</t>
  </si>
  <si>
    <t>Periods available</t>
  </si>
  <si>
    <t>Quarterly operating data: Q3/68 through Q2/69. Unit, budget, and government-budget data: Q2/69 snapshot.</t>
  </si>
  <si>
    <t>Filters</t>
  </si>
  <si>
    <t>Use Config!B4:B6 dropdowns for Fiscal Year, Quarter, and Unit. The Dashboard and helper formulas update from those selections where the source provides the dimension.</t>
  </si>
  <si>
    <t>Placeholder inputs</t>
  </si>
  <si>
    <t>ONLY Config!B8:B11 are placeholders: liquidity and budget performance thresholds. They are clearly labeled “PLACEHOLDER (management to approve)” and may be revised by management.</t>
  </si>
  <si>
    <t>Formula controls</t>
  </si>
  <si>
    <t>All new ratios use IFERROR to avoid calculation errors. Source-sheet #NAME? results are preserved and documented in Data_Audit; dashboard formulas use the underlying actual/budget values instead.</t>
  </si>
  <si>
    <t>Refresh process</t>
  </si>
  <si>
    <t>Append or update formula-linked rows in Data_Clean from the retained original sheets, then extend the Excel Table and refresh the Dashboard_Data formulas as required.</t>
  </si>
  <si>
    <t>Financial Analysis — Quarterly and Budget Review</t>
  </si>
  <si>
    <t>Quarterly Operating Summary</t>
  </si>
  <si>
    <t>Budget Variance</t>
  </si>
  <si>
    <t>Variance</t>
  </si>
  <si>
    <t>Unit Budget Achievement</t>
  </si>
  <si>
    <t>Unit Performance — Q2/69</t>
  </si>
  <si>
    <t>Margin</t>
  </si>
  <si>
    <t>Performance highlight</t>
  </si>
  <si>
    <t>Highest Revenue</t>
  </si>
  <si>
    <t>Highest Expense</t>
  </si>
  <si>
    <t>Highest Profit</t>
  </si>
  <si>
    <t>Largest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</si>
</sst>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#,##0;[Red]\(#,##0\);\-"/>
    <numFmt numFmtId="167" formatCode="#,##0.00,,&quot; M&quot;;[Red]\(#,##0.00,,&quot; M&quot;\);\-"/>
  </numFmts>
  <fonts count="9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6"/>
      <color rgb="FFFFFFFF"/>
      <name val="Tahoma"/>
      <family val="2"/>
    </font>
    <font>
      <b/>
      <sz val="10"/>
      <color rgb="FFFFFFFF"/>
      <name val="Tahoma"/>
      <family val="2"/>
    </font>
    <font>
      <sz val="10"/>
      <color rgb="FF000000"/>
      <name val="Tahoma"/>
      <family val="2"/>
    </font>
    <font>
      <b/>
      <sz val="11"/>
      <color rgb="FF4B1D5B"/>
      <name val="Tahoma"/>
      <family val="2"/>
    </font>
    <font>
      <i/>
      <sz val="10"/>
      <color rgb="FF4B5563"/>
      <name val="Tahoma"/>
      <family val="2"/>
    </font>
    <font>
      <b/>
      <sz val="9"/>
      <color rgb="FF4B1D5B"/>
      <name val="Tahoma"/>
      <family val="2"/>
    </font>
    <font>
      <b/>
      <sz val="14"/>
      <color rgb="FF4B1D5B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4B1D5B"/>
      </patternFill>
    </fill>
    <fill>
      <patternFill patternType="solid">
        <fgColor rgb="FFFBF6E5"/>
      </patternFill>
    </fill>
    <fill>
      <patternFill patternType="solid">
        <fgColor rgb="FFF1EAF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4B1D5B"/>
      </left>
      <right/>
      <top style="thin">
        <color rgb="FF4B1D5B"/>
      </top>
      <bottom style="thin">
        <color rgb="FF4B1D5B"/>
      </bottom>
      <diagonal/>
    </border>
    <border>
      <left/>
      <right/>
      <top style="thin">
        <color rgb="FF4B1D5B"/>
      </top>
      <bottom style="thin">
        <color rgb="FF4B1D5B"/>
      </bottom>
      <diagonal/>
    </border>
    <border>
      <left/>
      <right style="thin">
        <color rgb="FF4B1D5B"/>
      </right>
      <top style="thin">
        <color rgb="FF4B1D5B"/>
      </top>
      <bottom style="thin">
        <color rgb="FF4B1D5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/>
      <top/>
      <bottom/>
      <diagonal/>
    </border>
    <border>
      <left style="thin">
        <color rgb="FFC9A227"/>
      </left>
      <right/>
      <top style="thin">
        <color rgb="FFC9A227"/>
      </top>
      <bottom style="thin">
        <color rgb="FFC9A227"/>
      </bottom>
      <diagonal/>
    </border>
    <border>
      <left/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medium">
        <color rgb="FFC9A227"/>
      </left>
      <right/>
      <top style="medium">
        <color rgb="FFC9A227"/>
      </top>
      <bottom/>
      <diagonal/>
    </border>
    <border>
      <left/>
      <right style="medium">
        <color rgb="FFC9A227"/>
      </right>
      <top style="medium">
        <color rgb="FFC9A227"/>
      </top>
      <bottom/>
      <diagonal/>
    </border>
    <border>
      <left style="medium">
        <color rgb="FFC9A227"/>
      </left>
      <right/>
      <top/>
      <bottom/>
      <diagonal/>
    </border>
    <border>
      <left/>
      <right style="medium">
        <color rgb="FFC9A227"/>
      </right>
      <top/>
      <bottom/>
      <diagonal/>
    </border>
    <border>
      <left style="medium">
        <color rgb="FFC9A227"/>
      </left>
      <right/>
      <top/>
      <bottom style="medium">
        <color rgb="FFC9A227"/>
      </bottom>
      <diagonal/>
    </border>
    <border>
      <left/>
      <right style="medium">
        <color rgb="FFC9A227"/>
      </right>
      <top/>
      <bottom style="medium">
        <color rgb="FFC9A227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166" fontId="4" fillId="0" borderId="5" xfId="0" applyNumberFormat="1" applyFont="1" applyBorder="1" applyAlignment="1">
      <alignment vertical="center"/>
    </xf>
    <xf numFmtId="166" fontId="4" fillId="0" borderId="8" xfId="0" applyNumberFormat="1" applyFont="1" applyBorder="1" applyAlignment="1">
      <alignment vertical="center"/>
    </xf>
    <xf numFmtId="166" fontId="4" fillId="0" borderId="11" xfId="0" applyNumberFormat="1" applyFont="1" applyBorder="1" applyAlignment="1">
      <alignment vertical="center"/>
    </xf>
    <xf numFmtId="166" fontId="4" fillId="0" borderId="6" xfId="0" applyNumberFormat="1" applyFont="1" applyBorder="1" applyAlignment="1">
      <alignment vertical="center"/>
    </xf>
    <xf numFmtId="166" fontId="4" fillId="0" borderId="9" xfId="0" applyNumberFormat="1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167" fontId="4" fillId="0" borderId="5" xfId="0" applyNumberFormat="1" applyFont="1" applyBorder="1" applyAlignment="1">
      <alignment vertical="center"/>
    </xf>
    <xf numFmtId="167" fontId="4" fillId="0" borderId="6" xfId="0" applyNumberFormat="1" applyFont="1" applyBorder="1" applyAlignment="1">
      <alignment vertical="center"/>
    </xf>
    <xf numFmtId="167" fontId="4" fillId="0" borderId="8" xfId="0" applyNumberFormat="1" applyFont="1" applyBorder="1" applyAlignment="1">
      <alignment vertical="center"/>
    </xf>
    <xf numFmtId="167" fontId="4" fillId="0" borderId="9" xfId="0" applyNumberFormat="1" applyFont="1" applyBorder="1" applyAlignment="1">
      <alignment vertical="center"/>
    </xf>
    <xf numFmtId="167" fontId="4" fillId="0" borderId="11" xfId="0" applyNumberFormat="1" applyFont="1" applyBorder="1" applyAlignment="1">
      <alignment vertical="center"/>
    </xf>
    <xf numFmtId="167" fontId="4" fillId="0" borderId="12" xfId="0" applyNumberFormat="1" applyFont="1" applyBorder="1" applyAlignment="1">
      <alignment vertical="center"/>
    </xf>
    <xf numFmtId="164" fontId="4" fillId="0" borderId="6" xfId="0" applyNumberFormat="1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2" fontId="4" fillId="0" borderId="8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6" fontId="4" fillId="0" borderId="12" xfId="0" applyNumberFormat="1" applyFont="1" applyBorder="1" applyAlignment="1">
      <alignment vertical="center"/>
    </xf>
    <xf numFmtId="0" fontId="5" fillId="5" borderId="0" xfId="0" applyFont="1" applyFill="1" applyAlignment="1">
      <alignment vertical="center"/>
    </xf>
    <xf numFmtId="167" fontId="8" fillId="6" borderId="18" xfId="0" applyNumberFormat="1" applyFont="1" applyFill="1" applyBorder="1" applyAlignment="1">
      <alignment horizontal="center" vertical="center"/>
    </xf>
    <xf numFmtId="167" fontId="8" fillId="6" borderId="19" xfId="0" applyNumberFormat="1" applyFont="1" applyFill="1" applyBorder="1" applyAlignment="1">
      <alignment horizontal="center" vertical="center"/>
    </xf>
    <xf numFmtId="167" fontId="8" fillId="6" borderId="20" xfId="0" applyNumberFormat="1" applyFont="1" applyFill="1" applyBorder="1" applyAlignment="1">
      <alignment horizontal="center" vertical="center"/>
    </xf>
    <xf numFmtId="167" fontId="8" fillId="6" borderId="21" xfId="0" applyNumberFormat="1" applyFont="1" applyFill="1" applyBorder="1" applyAlignment="1">
      <alignment horizontal="center" vertical="center"/>
    </xf>
    <xf numFmtId="167" fontId="8" fillId="6" borderId="22" xfId="0" applyNumberFormat="1" applyFont="1" applyFill="1" applyBorder="1" applyAlignment="1">
      <alignment horizontal="center" vertical="center"/>
    </xf>
    <xf numFmtId="167" fontId="8" fillId="6" borderId="23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164" fontId="8" fillId="6" borderId="18" xfId="0" applyNumberFormat="1" applyFont="1" applyFill="1" applyBorder="1" applyAlignment="1">
      <alignment horizontal="center" vertical="center"/>
    </xf>
    <xf numFmtId="164" fontId="8" fillId="6" borderId="19" xfId="0" applyNumberFormat="1" applyFont="1" applyFill="1" applyBorder="1" applyAlignment="1">
      <alignment horizontal="center" vertical="center"/>
    </xf>
    <xf numFmtId="164" fontId="8" fillId="6" borderId="20" xfId="0" applyNumberFormat="1" applyFont="1" applyFill="1" applyBorder="1" applyAlignment="1">
      <alignment horizontal="center" vertical="center"/>
    </xf>
    <xf numFmtId="164" fontId="8" fillId="6" borderId="21" xfId="0" applyNumberFormat="1" applyFont="1" applyFill="1" applyBorder="1" applyAlignment="1">
      <alignment horizontal="center" vertical="center"/>
    </xf>
    <xf numFmtId="164" fontId="8" fillId="6" borderId="22" xfId="0" applyNumberFormat="1" applyFont="1" applyFill="1" applyBorder="1" applyAlignment="1">
      <alignment horizontal="center" vertical="center"/>
    </xf>
    <xf numFmtId="164" fontId="8" fillId="6" borderId="23" xfId="0" applyNumberFormat="1" applyFont="1" applyFill="1" applyBorder="1" applyAlignment="1">
      <alignment horizontal="center" vertical="center"/>
    </xf>
    <xf numFmtId="2" fontId="8" fillId="6" borderId="18" xfId="0" applyNumberFormat="1" applyFont="1" applyFill="1" applyBorder="1" applyAlignment="1">
      <alignment horizontal="center" vertical="center"/>
    </xf>
    <xf numFmtId="2" fontId="8" fillId="6" borderId="19" xfId="0" applyNumberFormat="1" applyFont="1" applyFill="1" applyBorder="1" applyAlignment="1">
      <alignment horizontal="center" vertical="center"/>
    </xf>
    <xf numFmtId="2" fontId="8" fillId="6" borderId="20" xfId="0" applyNumberFormat="1" applyFont="1" applyFill="1" applyBorder="1" applyAlignment="1">
      <alignment horizontal="center" vertical="center"/>
    </xf>
    <xf numFmtId="2" fontId="8" fillId="6" borderId="21" xfId="0" applyNumberFormat="1" applyFont="1" applyFill="1" applyBorder="1" applyAlignment="1">
      <alignment horizontal="center" vertical="center"/>
    </xf>
    <xf numFmtId="2" fontId="8" fillId="6" borderId="22" xfId="0" applyNumberFormat="1" applyFont="1" applyFill="1" applyBorder="1" applyAlignment="1">
      <alignment horizontal="center" vertical="center"/>
    </xf>
    <xf numFmtId="2" fontId="8" fillId="6" borderId="23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6" fillId="0" borderId="0" xfId="0" applyFont="1" applyAlignment="1">
      <alignment horizontal="left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6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1" fontId="4" fillId="7" borderId="6" xfId="0" applyNumberFormat="1" applyFont="1" applyFill="1" applyBorder="1" applyAlignment="1">
      <alignment vertical="center"/>
    </xf>
    <xf numFmtId="0" fontId="4" fillId="7" borderId="9" xfId="0" applyFont="1" applyFill="1" applyBorder="1" applyAlignment="1">
      <alignment vertical="center"/>
    </xf>
    <xf numFmtId="4" fontId="4" fillId="0" borderId="5" xfId="0" applyNumberFormat="1" applyFont="1" applyBorder="1" applyAlignment="1">
      <alignment vertical="center"/>
    </xf>
  </cellXfs>
  <cellStyles count="1">
    <cellStyle name="Normal" xfId="0" builtinId="0"/>
  </cellStyles>
  <dxfs count="4">
    <dxf>
      <font>
        <b/>
        <color rgb="FFC0392B"/>
      </font>
    </dxf>
    <dxf>
      <font>
        <b/>
        <color rgb="FFC0392B"/>
      </font>
    </dxf>
    <dxf>
      <font>
        <b/>
        <color rgb="FFB7791F"/>
      </font>
    </dxf>
    <dxf>
      <font>
        <b/>
        <color rgb="FF19875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Revenue, Expense &amp; Operating Result (M THB)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Dashboard!$A$15:$A$18</c:f>
              <c:strCache>
                <c:ptCount val="4"/>
                <c:pt idx="0">
                  <c:v>Q3/68</c:v>
                </c:pt>
                <c:pt idx="1">
                  <c:v>Q4/68</c:v>
                </c:pt>
                <c:pt idx="2">
                  <c:v>Q1/69</c:v>
                </c:pt>
                <c:pt idx="3">
                  <c:v>Q2/69</c:v>
                </c:pt>
              </c:strCache>
            </c:strRef>
          </c:cat>
          <c:val>
            <c:numRef>
              <c:f>Dashboard!$B$15:$B$18</c:f>
              <c:numCache>
                <c:formatCode>#,##0.00,," M";[Red]\(#,##0.00,," M"\);\-</c:formatCode>
                <c:ptCount val="4"/>
                <c:pt idx="0">
                  <c:v>90260853</c:v>
                </c:pt>
                <c:pt idx="1">
                  <c:v>131408229</c:v>
                </c:pt>
                <c:pt idx="2">
                  <c:v>46683658</c:v>
                </c:pt>
                <c:pt idx="3">
                  <c:v>73281544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42-E946-8DA3-9E3F23D52A66}"/>
            </c:ext>
          </c:extLst>
        </c:ser>
        <c:ser>
          <c:idx val="1"/>
          <c:order val="1"/>
          <c:tx>
            <c:v>Expense</c:v>
          </c:tx>
          <c:marker>
            <c:symbol val="none"/>
          </c:marker>
          <c:cat>
            <c:strRef>
              <c:f>Dashboard!$A$15:$A$18</c:f>
              <c:strCache>
                <c:ptCount val="4"/>
                <c:pt idx="0">
                  <c:v>Q3/68</c:v>
                </c:pt>
                <c:pt idx="1">
                  <c:v>Q4/68</c:v>
                </c:pt>
                <c:pt idx="2">
                  <c:v>Q1/69</c:v>
                </c:pt>
                <c:pt idx="3">
                  <c:v>Q2/69</c:v>
                </c:pt>
              </c:strCache>
            </c:strRef>
          </c:cat>
          <c:val>
            <c:numRef>
              <c:f>Dashboard!$C$15:$C$18</c:f>
              <c:numCache>
                <c:formatCode>#,##0.00,," M";[Red]\(#,##0.00,," M"\);\-</c:formatCode>
                <c:ptCount val="4"/>
                <c:pt idx="0">
                  <c:v>84229576</c:v>
                </c:pt>
                <c:pt idx="1">
                  <c:v>127865373</c:v>
                </c:pt>
                <c:pt idx="2">
                  <c:v>51712260</c:v>
                </c:pt>
                <c:pt idx="3">
                  <c:v>57694327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42-E946-8DA3-9E3F23D52A66}"/>
            </c:ext>
          </c:extLst>
        </c:ser>
        <c:ser>
          <c:idx val="2"/>
          <c:order val="2"/>
          <c:tx>
            <c:v>Operating Result</c:v>
          </c:tx>
          <c:marker>
            <c:symbol val="none"/>
          </c:marker>
          <c:cat>
            <c:strRef>
              <c:f>Dashboard!$A$15:$A$18</c:f>
              <c:strCache>
                <c:ptCount val="4"/>
                <c:pt idx="0">
                  <c:v>Q3/68</c:v>
                </c:pt>
                <c:pt idx="1">
                  <c:v>Q4/68</c:v>
                </c:pt>
                <c:pt idx="2">
                  <c:v>Q1/69</c:v>
                </c:pt>
                <c:pt idx="3">
                  <c:v>Q2/69</c:v>
                </c:pt>
              </c:strCache>
            </c:strRef>
          </c:cat>
          <c:val>
            <c:numRef>
              <c:f>Dashboard!$D$15:$D$18</c:f>
              <c:numCache>
                <c:formatCode>#,##0.00,," M";[Red]\(#,##0.00,," M"\);\-</c:formatCode>
                <c:ptCount val="4"/>
                <c:pt idx="0">
                  <c:v>6031277</c:v>
                </c:pt>
                <c:pt idx="1">
                  <c:v>3542856</c:v>
                </c:pt>
                <c:pt idx="2">
                  <c:v>-5028602</c:v>
                </c:pt>
                <c:pt idx="3">
                  <c:v>15587217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642-E946-8DA3-9E3F23D52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,,&quot; M&quot;;[Red]\(#,##0.00,,&quot; M&quot;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Budget vs Actual (M THB)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invertIfNegative val="1"/>
          <c:cat>
            <c:strRef>
              <c:f>Dashboard!$H$15:$H$16</c:f>
              <c:strCache>
                <c:ptCount val="2"/>
                <c:pt idx="0">
                  <c:v>Revenue</c:v>
                </c:pt>
                <c:pt idx="1">
                  <c:v>Expense</c:v>
                </c:pt>
              </c:strCache>
            </c:strRef>
          </c:cat>
          <c:val>
            <c:numRef>
              <c:f>Dashboard!$I$15:$I$16</c:f>
              <c:numCache>
                <c:formatCode>#,##0.00,," M";[Red]\(#,##0.00,," M"\);\-</c:formatCode>
                <c:ptCount val="2"/>
                <c:pt idx="0">
                  <c:v>171825100</c:v>
                </c:pt>
                <c:pt idx="1">
                  <c:v>165565500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9-EE42-902A-0952BBA8CDB7}"/>
            </c:ext>
          </c:extLst>
        </c:ser>
        <c:ser>
          <c:idx val="1"/>
          <c:order val="1"/>
          <c:tx>
            <c:v>Actual</c:v>
          </c:tx>
          <c:invertIfNegative val="1"/>
          <c:cat>
            <c:strRef>
              <c:f>Dashboard!$H$15:$H$16</c:f>
              <c:strCache>
                <c:ptCount val="2"/>
                <c:pt idx="0">
                  <c:v>Revenue</c:v>
                </c:pt>
                <c:pt idx="1">
                  <c:v>Expense</c:v>
                </c:pt>
              </c:strCache>
            </c:strRef>
          </c:cat>
          <c:val>
            <c:numRef>
              <c:f>Dashboard!$J$15:$J$16</c:f>
              <c:numCache>
                <c:formatCode>#,##0.00,," M";[Red]\(#,##0.00,," M"\);\-</c:formatCode>
                <c:ptCount val="2"/>
                <c:pt idx="0">
                  <c:v>73281544</c:v>
                </c:pt>
                <c:pt idx="1">
                  <c:v>57694327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9-EE42-902A-0952BBA8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,,&quot; M&quot;;[Red]\(#,##0.00,,&quot; M&quot;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Quarterly Financial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Financial_Analysis!$A$5:$A$8</c:f>
              <c:strCache>
                <c:ptCount val="4"/>
                <c:pt idx="0">
                  <c:v>Q3/68</c:v>
                </c:pt>
                <c:pt idx="1">
                  <c:v>Q4/68</c:v>
                </c:pt>
                <c:pt idx="2">
                  <c:v>Q1/69</c:v>
                </c:pt>
                <c:pt idx="3">
                  <c:v>Q2/69</c:v>
                </c:pt>
              </c:strCache>
            </c:strRef>
          </c:cat>
          <c:val>
            <c:numRef>
              <c:f>Financial_Analysis!$B$5:$B$8</c:f>
              <c:numCache>
                <c:formatCode>#,##0;[Red]\(#,##0\);\-</c:formatCode>
                <c:ptCount val="4"/>
                <c:pt idx="0">
                  <c:v>90260853</c:v>
                </c:pt>
                <c:pt idx="1">
                  <c:v>131408229</c:v>
                </c:pt>
                <c:pt idx="2">
                  <c:v>46683658</c:v>
                </c:pt>
                <c:pt idx="3">
                  <c:v>73281544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28-4E4A-B641-009C53DFC208}"/>
            </c:ext>
          </c:extLst>
        </c:ser>
        <c:ser>
          <c:idx val="1"/>
          <c:order val="1"/>
          <c:tx>
            <c:v>Expense</c:v>
          </c:tx>
          <c:marker>
            <c:symbol val="none"/>
          </c:marker>
          <c:cat>
            <c:strRef>
              <c:f>Financial_Analysis!$A$5:$A$8</c:f>
              <c:strCache>
                <c:ptCount val="4"/>
                <c:pt idx="0">
                  <c:v>Q3/68</c:v>
                </c:pt>
                <c:pt idx="1">
                  <c:v>Q4/68</c:v>
                </c:pt>
                <c:pt idx="2">
                  <c:v>Q1/69</c:v>
                </c:pt>
                <c:pt idx="3">
                  <c:v>Q2/69</c:v>
                </c:pt>
              </c:strCache>
            </c:strRef>
          </c:cat>
          <c:val>
            <c:numRef>
              <c:f>Financial_Analysis!$C$5:$C$8</c:f>
              <c:numCache>
                <c:formatCode>#,##0;[Red]\(#,##0\);\-</c:formatCode>
                <c:ptCount val="4"/>
                <c:pt idx="0">
                  <c:v>84229576</c:v>
                </c:pt>
                <c:pt idx="1">
                  <c:v>127865373</c:v>
                </c:pt>
                <c:pt idx="2">
                  <c:v>51712260</c:v>
                </c:pt>
                <c:pt idx="3">
                  <c:v>57694327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28-4E4A-B641-009C53DFC208}"/>
            </c:ext>
          </c:extLst>
        </c:ser>
        <c:ser>
          <c:idx val="2"/>
          <c:order val="2"/>
          <c:tx>
            <c:v>Operating Result</c:v>
          </c:tx>
          <c:marker>
            <c:symbol val="none"/>
          </c:marker>
          <c:cat>
            <c:strRef>
              <c:f>Financial_Analysis!$A$5:$A$8</c:f>
              <c:strCache>
                <c:ptCount val="4"/>
                <c:pt idx="0">
                  <c:v>Q3/68</c:v>
                </c:pt>
                <c:pt idx="1">
                  <c:v>Q4/68</c:v>
                </c:pt>
                <c:pt idx="2">
                  <c:v>Q1/69</c:v>
                </c:pt>
                <c:pt idx="3">
                  <c:v>Q2/69</c:v>
                </c:pt>
              </c:strCache>
            </c:strRef>
          </c:cat>
          <c:val>
            <c:numRef>
              <c:f>Financial_Analysis!$D$5:$D$8</c:f>
              <c:numCache>
                <c:formatCode>#,##0;[Red]\(#,##0\);\-</c:formatCode>
                <c:ptCount val="4"/>
                <c:pt idx="0">
                  <c:v>6031277</c:v>
                </c:pt>
                <c:pt idx="1">
                  <c:v>3542856</c:v>
                </c:pt>
                <c:pt idx="2">
                  <c:v>-5028602</c:v>
                </c:pt>
                <c:pt idx="3">
                  <c:v>15587217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528-4E4A-B641-009C53DFC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Revenue, Expense &amp; Operating Result by Unit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Unit_Performance!$A$4:$A$14</c:f>
              <c:strCache>
                <c:ptCount val="11"/>
                <c:pt idx="0">
                  <c:v>สำนักงาน คณะสัตวแพทยศาสตร์</c:v>
                </c:pt>
                <c:pt idx="1">
                  <c:v>ศูนย์การเรียนรู้และส่งเสริมสุขภาพสัตว์ภาคเหนือ(NOVEL)</c:v>
                </c:pt>
                <c:pt idx="2">
                  <c:v>(โรงพยาบาลสัตว์แม่ออน)</c:v>
                </c:pt>
                <c:pt idx="3">
                  <c:v>โรงพยาบาลสัตว์ใหญ่และปศุสัตว์</c:v>
                </c:pt>
                <c:pt idx="4">
                  <c:v>ศูนย์สุขภาพช้างและสัตว์ป่า</c:v>
                </c:pt>
                <c:pt idx="5">
                  <c:v>ศูนย์ชันเวชศาสตร์ชันสูตรและนวัตกรรมด้านสุขภาพสัตว์</c:v>
                </c:pt>
                <c:pt idx="6">
                  <c:v>ศูนย์ความเป็นเลิศด้านเวชศาสตร์แมว</c:v>
                </c:pt>
                <c:pt idx="7">
                  <c:v>Pet CMU (กลุ่มงานบ่มเพาะวิสาหกิจทางสัตวแพทย์)</c:v>
                </c:pt>
                <c:pt idx="8">
                  <c:v>ศูนย์สัตวแพทย์สาธารณสุขและอาหารปลอดภัยเอเชียแปซิฟิก</c:v>
                </c:pt>
                <c:pt idx="9">
                  <c:v>ศูนย์เฝ้าระวังสุขภาพหนึ่งเดียว PODD</c:v>
                </c:pt>
                <c:pt idx="10">
                  <c:v>สำนักงานโรงพยาบาลสัตว์(ศรีบัวบาน)</c:v>
                </c:pt>
              </c:strCache>
            </c:strRef>
          </c:cat>
          <c:val>
            <c:numRef>
              <c:f>Unit_Performance!$B$4:$B$14</c:f>
              <c:numCache>
                <c:formatCode>#,##0;[Red]\(#,##0\);\-</c:formatCode>
                <c:ptCount val="11"/>
                <c:pt idx="0">
                  <c:v>18542474</c:v>
                </c:pt>
                <c:pt idx="1">
                  <c:v>39787921</c:v>
                </c:pt>
                <c:pt idx="2">
                  <c:v>1762983</c:v>
                </c:pt>
                <c:pt idx="3">
                  <c:v>1008535</c:v>
                </c:pt>
                <c:pt idx="4">
                  <c:v>1044605</c:v>
                </c:pt>
                <c:pt idx="5">
                  <c:v>2741058</c:v>
                </c:pt>
                <c:pt idx="6">
                  <c:v>0</c:v>
                </c:pt>
                <c:pt idx="7">
                  <c:v>7351957</c:v>
                </c:pt>
                <c:pt idx="8">
                  <c:v>11985</c:v>
                </c:pt>
                <c:pt idx="9">
                  <c:v>1029558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7-0349-AB4E-68D40FB57B7E}"/>
            </c:ext>
          </c:extLst>
        </c:ser>
        <c:ser>
          <c:idx val="1"/>
          <c:order val="1"/>
          <c:tx>
            <c:v>Expense</c:v>
          </c:tx>
          <c:invertIfNegative val="1"/>
          <c:cat>
            <c:strRef>
              <c:f>Unit_Performance!$A$4:$A$14</c:f>
              <c:strCache>
                <c:ptCount val="11"/>
                <c:pt idx="0">
                  <c:v>สำนักงาน คณะสัตวแพทยศาสตร์</c:v>
                </c:pt>
                <c:pt idx="1">
                  <c:v>ศูนย์การเรียนรู้และส่งเสริมสุขภาพสัตว์ภาคเหนือ(NOVEL)</c:v>
                </c:pt>
                <c:pt idx="2">
                  <c:v>(โรงพยาบาลสัตว์แม่ออน)</c:v>
                </c:pt>
                <c:pt idx="3">
                  <c:v>โรงพยาบาลสัตว์ใหญ่และปศุสัตว์</c:v>
                </c:pt>
                <c:pt idx="4">
                  <c:v>ศูนย์สุขภาพช้างและสัตว์ป่า</c:v>
                </c:pt>
                <c:pt idx="5">
                  <c:v>ศูนย์ชันเวชศาสตร์ชันสูตรและนวัตกรรมด้านสุขภาพสัตว์</c:v>
                </c:pt>
                <c:pt idx="6">
                  <c:v>ศูนย์ความเป็นเลิศด้านเวชศาสตร์แมว</c:v>
                </c:pt>
                <c:pt idx="7">
                  <c:v>Pet CMU (กลุ่มงานบ่มเพาะวิสาหกิจทางสัตวแพทย์)</c:v>
                </c:pt>
                <c:pt idx="8">
                  <c:v>ศูนย์สัตวแพทย์สาธารณสุขและอาหารปลอดภัยเอเชียแปซิฟิก</c:v>
                </c:pt>
                <c:pt idx="9">
                  <c:v>ศูนย์เฝ้าระวังสุขภาพหนึ่งเดียว PODD</c:v>
                </c:pt>
                <c:pt idx="10">
                  <c:v>สำนักงานโรงพยาบาลสัตว์(ศรีบัวบาน)</c:v>
                </c:pt>
              </c:strCache>
            </c:strRef>
          </c:cat>
          <c:val>
            <c:numRef>
              <c:f>Unit_Performance!$C$4:$C$14</c:f>
              <c:numCache>
                <c:formatCode>#,##0;[Red]\(#,##0\);\-</c:formatCode>
                <c:ptCount val="11"/>
                <c:pt idx="0">
                  <c:v>14354999</c:v>
                </c:pt>
                <c:pt idx="1">
                  <c:v>31034819</c:v>
                </c:pt>
                <c:pt idx="2">
                  <c:v>1511583</c:v>
                </c:pt>
                <c:pt idx="3">
                  <c:v>1002935</c:v>
                </c:pt>
                <c:pt idx="4">
                  <c:v>396333</c:v>
                </c:pt>
                <c:pt idx="5">
                  <c:v>2740822</c:v>
                </c:pt>
                <c:pt idx="6">
                  <c:v>0</c:v>
                </c:pt>
                <c:pt idx="7">
                  <c:v>4155836</c:v>
                </c:pt>
                <c:pt idx="8">
                  <c:v>189641</c:v>
                </c:pt>
                <c:pt idx="9">
                  <c:v>2307358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07-0349-AB4E-68D40FB57B7E}"/>
            </c:ext>
          </c:extLst>
        </c:ser>
        <c:ser>
          <c:idx val="2"/>
          <c:order val="2"/>
          <c:tx>
            <c:v>Operating Result</c:v>
          </c:tx>
          <c:invertIfNegative val="1"/>
          <c:cat>
            <c:strRef>
              <c:f>Unit_Performance!$A$4:$A$14</c:f>
              <c:strCache>
                <c:ptCount val="11"/>
                <c:pt idx="0">
                  <c:v>สำนักงาน คณะสัตวแพทยศาสตร์</c:v>
                </c:pt>
                <c:pt idx="1">
                  <c:v>ศูนย์การเรียนรู้และส่งเสริมสุขภาพสัตว์ภาคเหนือ(NOVEL)</c:v>
                </c:pt>
                <c:pt idx="2">
                  <c:v>(โรงพยาบาลสัตว์แม่ออน)</c:v>
                </c:pt>
                <c:pt idx="3">
                  <c:v>โรงพยาบาลสัตว์ใหญ่และปศุสัตว์</c:v>
                </c:pt>
                <c:pt idx="4">
                  <c:v>ศูนย์สุขภาพช้างและสัตว์ป่า</c:v>
                </c:pt>
                <c:pt idx="5">
                  <c:v>ศูนย์ชันเวชศาสตร์ชันสูตรและนวัตกรรมด้านสุขภาพสัตว์</c:v>
                </c:pt>
                <c:pt idx="6">
                  <c:v>ศูนย์ความเป็นเลิศด้านเวชศาสตร์แมว</c:v>
                </c:pt>
                <c:pt idx="7">
                  <c:v>Pet CMU (กลุ่มงานบ่มเพาะวิสาหกิจทางสัตวแพทย์)</c:v>
                </c:pt>
                <c:pt idx="8">
                  <c:v>ศูนย์สัตวแพทย์สาธารณสุขและอาหารปลอดภัยเอเชียแปซิฟิก</c:v>
                </c:pt>
                <c:pt idx="9">
                  <c:v>ศูนย์เฝ้าระวังสุขภาพหนึ่งเดียว PODD</c:v>
                </c:pt>
                <c:pt idx="10">
                  <c:v>สำนักงานโรงพยาบาลสัตว์(ศรีบัวบาน)</c:v>
                </c:pt>
              </c:strCache>
            </c:strRef>
          </c:cat>
          <c:val>
            <c:numRef>
              <c:f>Unit_Performance!$D$4:$D$14</c:f>
              <c:numCache>
                <c:formatCode>#,##0;[Red]\(#,##0\);\-</c:formatCode>
                <c:ptCount val="11"/>
                <c:pt idx="0">
                  <c:v>4187475</c:v>
                </c:pt>
                <c:pt idx="1">
                  <c:v>8753102</c:v>
                </c:pt>
                <c:pt idx="2">
                  <c:v>251400</c:v>
                </c:pt>
                <c:pt idx="3">
                  <c:v>5600</c:v>
                </c:pt>
                <c:pt idx="4">
                  <c:v>648272</c:v>
                </c:pt>
                <c:pt idx="5">
                  <c:v>236</c:v>
                </c:pt>
                <c:pt idx="6">
                  <c:v>0</c:v>
                </c:pt>
                <c:pt idx="7">
                  <c:v>3196121</c:v>
                </c:pt>
                <c:pt idx="8">
                  <c:v>-177656</c:v>
                </c:pt>
                <c:pt idx="9">
                  <c:v>-1277800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07-0349-AB4E-68D40FB5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ตาราง9" displayName="ตาราง9" ref="A1:F5">
  <tableColumns count="6">
    <tableColumn id="1" xr3:uid="{00000000-0010-0000-0000-000001000000}" name="Quarter (A)"/>
    <tableColumn id="2" xr3:uid="{00000000-0010-0000-0000-000002000000}" name="Current Assets "/>
    <tableColumn id="3" xr3:uid="{00000000-0010-0000-0000-000003000000}" name="Non-Current Assets "/>
    <tableColumn id="4" xr3:uid="{00000000-0010-0000-0000-000004000000}" name="Liabilities"/>
    <tableColumn id="5" xr3:uid="{00000000-0010-0000-0000-000005000000}" name="Financial Liquidity "/>
    <tableColumn id="6" xr3:uid="{00000000-0010-0000-0000-000006000000}" name="proportion"/>
  </tableColumns>
  <tableStyleInfo name="งบดุล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ตาราง1" displayName="ตาราง1" ref="A1:F5">
  <tableColumns count="6">
    <tableColumn id="1" xr3:uid="{00000000-0010-0000-0100-000001000000}" name="Quarter (A)"/>
    <tableColumn id="2" xr3:uid="{00000000-0010-0000-0100-000002000000}" name="Revenue (B)"/>
    <tableColumn id="3" xr3:uid="{00000000-0010-0000-0100-000003000000}" name="Expenses (C)"/>
    <tableColumn id="4" xr3:uid="{00000000-0010-0000-0100-000004000000}" name="Net Profit (D)"/>
    <tableColumn id="5" xr3:uid="{00000000-0010-0000-0100-000005000000}" name="Current_Ratio (E)"/>
    <tableColumn id="6" xr3:uid="{00000000-0010-0000-0100-000006000000}" name="proportion"/>
  </tableColumns>
  <tableStyleInfo name="รายรับรายจ่ายกำไร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ตาราง2" displayName="ตาราง2" ref="A1:F12">
  <tableColumns count="6">
    <tableColumn id="1" xr3:uid="{00000000-0010-0000-0200-000001000000}" name="Sub-unit (A)"/>
    <tableColumn id="2" xr3:uid="{00000000-0010-0000-0200-000002000000}" name="Revenue (B)"/>
    <tableColumn id="3" xr3:uid="{00000000-0010-0000-0200-000003000000}" name="Expenses (C)"/>
    <tableColumn id="4" xr3:uid="{00000000-0010-0000-0200-000004000000}" name="Net Profit (D)"/>
    <tableColumn id="5" xr3:uid="{00000000-0010-0000-0200-000005000000}" name="Current_Ratio (E)"/>
    <tableColumn id="6" xr3:uid="{00000000-0010-0000-0200-000006000000}" name="proportion"/>
  </tableColumns>
  <tableStyleInfo name="รายรับรายจ่ายกำไร_ย่อย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ตาราง3" displayName="ตาราง3" ref="A1:D2">
  <tableColumns count="4">
    <tableColumn id="1" xr3:uid="{00000000-0010-0000-0300-000001000000}" name="คณะสัตวแพทย์"/>
    <tableColumn id="2" xr3:uid="{00000000-0010-0000-0300-000002000000}" name="Budgeted Revenue"/>
    <tableColumn id="3" xr3:uid="{00000000-0010-0000-0300-000003000000}" name="Revenue Q2"/>
    <tableColumn id="4" xr3:uid="{00000000-0010-0000-0300-000004000000}" name="Percentage(%)"/>
  </tableColumns>
  <tableStyleInfo name="ประมาณการรายรับกับรายรับจริง_รว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ตาราง4" displayName="ตาราง4" ref="A1:D12">
  <tableColumns count="4">
    <tableColumn id="1" xr3:uid="{00000000-0010-0000-0400-000001000000}" name="Sub-unit (A)"/>
    <tableColumn id="2" xr3:uid="{00000000-0010-0000-0400-000002000000}" name="Budgeted Revenue"/>
    <tableColumn id="3" xr3:uid="{00000000-0010-0000-0400-000003000000}" name="Revenue Q2"/>
    <tableColumn id="4" xr3:uid="{00000000-0010-0000-0400-000004000000}" name="Percentage(%)"/>
  </tableColumns>
  <tableStyleInfo name="ประมาณการรายรับกับรายรับจริง_แย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ตาราง5" displayName="ตาราง5" ref="A1:D2">
  <tableColumns count="4">
    <tableColumn id="1" xr3:uid="{00000000-0010-0000-0500-000001000000}" name="คณะสัตวแพทย์"/>
    <tableColumn id="2" xr3:uid="{00000000-0010-0000-0500-000002000000}" name="Budgeted Revenue"/>
    <tableColumn id="3" xr3:uid="{00000000-0010-0000-0500-000003000000}" name="Revenue Q2"/>
    <tableColumn id="4" xr3:uid="{00000000-0010-0000-0500-000004000000}" name="Percentage(%)"/>
  </tableColumns>
  <tableStyleInfo name="ประมาณการรายจ่ายกับรายจ่ายจริง_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ตาราง6" displayName="ตาราง6" ref="A1:D12">
  <tableColumns count="4">
    <tableColumn id="1" xr3:uid="{00000000-0010-0000-0600-000001000000}" name="Sub-unit (A)"/>
    <tableColumn id="2" xr3:uid="{00000000-0010-0000-0600-000002000000}" name="Budgeted Expenses "/>
    <tableColumn id="3" xr3:uid="{00000000-0010-0000-0600-000003000000}" name="Expenses Q2"/>
    <tableColumn id="4" xr3:uid="{00000000-0010-0000-0600-000004000000}" name="Percentage(%)"/>
  </tableColumns>
  <tableStyleInfo name="ชีต10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ตาราง7" displayName="ตาราง7" ref="A1:D2">
  <tableColumns count="4">
    <tableColumn id="1" xr3:uid="{00000000-0010-0000-0700-000001000000}" name="คณะสัตวแพทย์"/>
    <tableColumn id="2" xr3:uid="{00000000-0010-0000-0700-000002000000}" name="Budgeted Expenses "/>
    <tableColumn id="3" xr3:uid="{00000000-0010-0000-0700-000003000000}" name="Expenses Q2"/>
    <tableColumn id="4" xr3:uid="{00000000-0010-0000-0700-000004000000}" name="Percentage(%)"/>
  </tableColumns>
  <tableStyleInfo name="งบประมาณแผ่นดิน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ตาราง8" displayName="ตาราง8" ref="A1:D3">
  <tableColumns count="4">
    <tableColumn id="1" xr3:uid="{00000000-0010-0000-0800-000001000000}" name="คณะสัตวแพทย์"/>
    <tableColumn id="2" xr3:uid="{00000000-0010-0000-0800-000002000000}" name="Budgeted Expenses "/>
    <tableColumn id="3" xr3:uid="{00000000-0010-0000-0800-000003000000}" name="Expenses Q2"/>
    <tableColumn id="4" xr3:uid="{00000000-0010-0000-0800-000004000000}" name="Percentage(%)"/>
  </tableColumns>
  <tableStyleInfo name="งบแผ่นดินแยกหมวด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DataAudit" displayName="tblDataAudit" ref="A2:H12" totalsRowShown="0">
  <tableColumns count="8">
    <tableColumn id="1" xr3:uid="{00000000-0010-0000-0900-000001000000}" name="Worksheet"/>
    <tableColumn id="2" xr3:uid="{00000000-0010-0000-0900-000002000000}" name="Used Range"/>
    <tableColumn id="3" xr3:uid="{00000000-0010-0000-0900-000003000000}" name="Rows"/>
    <tableColumn id="4" xr3:uid="{00000000-0010-0000-0900-000004000000}" name="Columns"/>
    <tableColumn id="5" xr3:uid="{00000000-0010-0000-0900-000005000000}" name="Primary data"/>
    <tableColumn id="6" xr3:uid="{00000000-0010-0000-0900-000006000000}" name="Time level"/>
    <tableColumn id="7" xr3:uid="{00000000-0010-0000-0900-000007000000}" name="Issues found"/>
    <tableColumn id="8" xr3:uid="{00000000-0010-0000-0900-000008000000}" name="Dashboard sour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blFinancialClean" displayName="tblFinancialClean" ref="A2:L97" totalsRowShown="0">
  <tableColumns count="12">
    <tableColumn id="1" xr3:uid="{00000000-0010-0000-0A00-000001000000}" name="FiscalYear"/>
    <tableColumn id="2" xr3:uid="{00000000-0010-0000-0A00-000002000000}" name="Quarter"/>
    <tableColumn id="3" xr3:uid="{00000000-0010-0000-0A00-000003000000}" name="Month"/>
    <tableColumn id="4" xr3:uid="{00000000-0010-0000-0A00-000004000000}" name="MonthNo"/>
    <tableColumn id="5" xr3:uid="{00000000-0010-0000-0A00-000005000000}" name="Unit"/>
    <tableColumn id="6" xr3:uid="{00000000-0010-0000-0A00-000006000000}" name="Category"/>
    <tableColumn id="7" xr3:uid="{00000000-0010-0000-0A00-000007000000}" name="Subcategory"/>
    <tableColumn id="8" xr3:uid="{00000000-0010-0000-0A00-000008000000}" name="Metric"/>
    <tableColumn id="9" xr3:uid="{00000000-0010-0000-0A00-000009000000}" name="Budget"/>
    <tableColumn id="10" xr3:uid="{00000000-0010-0000-0A00-00000A000000}" name="Actual"/>
    <tableColumn id="11" xr3:uid="{00000000-0010-0000-0A00-00000B000000}" name="Amount"/>
    <tableColumn id="12" xr3:uid="{00000000-0010-0000-0A00-00000C000000}" name="SourceShee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blKPIHelper" displayName="tblKPIHelper" ref="A3:B16" totalsRowShown="0">
  <tableColumns count="2">
    <tableColumn id="1" xr3:uid="{00000000-0010-0000-0B00-000001000000}" name="KPI"/>
    <tableColumn id="2" xr3:uid="{00000000-0010-0000-0B00-000002000000}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blTrendHelper" displayName="tblTrendHelper" ref="D3:G7" totalsRowShown="0">
  <tableColumns count="4">
    <tableColumn id="1" xr3:uid="{00000000-0010-0000-0C00-000001000000}" name="Period"/>
    <tableColumn id="2" xr3:uid="{00000000-0010-0000-0C00-000002000000}" name="Revenue"/>
    <tableColumn id="3" xr3:uid="{00000000-0010-0000-0C00-000003000000}" name="Expense"/>
    <tableColumn id="4" xr3:uid="{00000000-0010-0000-0C00-000004000000}" name="Operating Resul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blReadme" displayName="tblReadme" ref="A3:B11" totalsRowShown="0">
  <tableColumns count="2">
    <tableColumn id="1" xr3:uid="{00000000-0010-0000-0D00-000001000000}" name="Topic"/>
    <tableColumn id="2" xr3:uid="{00000000-0010-0000-0D00-000002000000}" name="Descrip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UnitPerformance" displayName="tblUnitPerformance" ref="A3:H14" totalsRowShown="0">
  <tableColumns count="8">
    <tableColumn id="1" xr3:uid="{00000000-0010-0000-0E00-000001000000}" name="Unit"/>
    <tableColumn id="2" xr3:uid="{00000000-0010-0000-0E00-000002000000}" name="Revenue"/>
    <tableColumn id="3" xr3:uid="{00000000-0010-0000-0E00-000003000000}" name="Expense"/>
    <tableColumn id="4" xr3:uid="{00000000-0010-0000-0E00-000004000000}" name="Operating Result"/>
    <tableColumn id="5" xr3:uid="{00000000-0010-0000-0E00-000005000000}" name="Margin"/>
    <tableColumn id="6" xr3:uid="{00000000-0010-0000-0E00-000006000000}" name="Revenue Budget"/>
    <tableColumn id="7" xr3:uid="{00000000-0010-0000-0E00-000007000000}" name="Revenue Achievement"/>
    <tableColumn id="8" xr3:uid="{00000000-0010-0000-0E00-000008000000}" name="Expense Util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41"/>
  <sheetViews>
    <sheetView showGridLines="0" tabSelected="1" zoomScale="115" workbookViewId="0">
      <selection activeCell="L39" sqref="L39"/>
    </sheetView>
  </sheetViews>
  <sheetFormatPr baseColWidth="10" defaultColWidth="12.6640625" defaultRowHeight="13" x14ac:dyDescent="0.15"/>
  <cols>
    <col min="1" max="1" width="35" customWidth="1"/>
    <col min="2" max="14" width="13" customWidth="1"/>
  </cols>
  <sheetData>
    <row r="1" spans="1:14" ht="30" customHeight="1" x14ac:dyDescent="0.15">
      <c r="A1" s="78" t="s">
        <v>51</v>
      </c>
      <c r="B1" s="78" t="s">
        <v>51</v>
      </c>
      <c r="C1" s="78" t="s">
        <v>51</v>
      </c>
      <c r="D1" s="78" t="s">
        <v>51</v>
      </c>
      <c r="E1" s="78" t="s">
        <v>51</v>
      </c>
      <c r="F1" s="78" t="s">
        <v>51</v>
      </c>
      <c r="G1" s="78" t="s">
        <v>51</v>
      </c>
      <c r="H1" s="78" t="s">
        <v>51</v>
      </c>
      <c r="I1" s="78" t="s">
        <v>51</v>
      </c>
      <c r="J1" s="78" t="s">
        <v>51</v>
      </c>
      <c r="K1" s="78" t="s">
        <v>51</v>
      </c>
      <c r="L1" s="78" t="s">
        <v>51</v>
      </c>
      <c r="M1" s="78" t="s">
        <v>51</v>
      </c>
      <c r="N1" s="78" t="s">
        <v>51</v>
      </c>
    </row>
    <row r="2" spans="1:14" ht="22" customHeight="1" x14ac:dyDescent="0.15">
      <c r="A2" s="79" t="s">
        <v>52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 ht="15.75" customHeight="1" x14ac:dyDescent="0.15">
      <c r="A3" s="80" t="str">
        <f>"Selected: FY "&amp;Config!B4&amp;" | "&amp;Config!B5&amp;" | "&amp;Config!B6&amp;"     Refresh: "&amp;TEXT(Config!B7,"dd mmm yyyy")</f>
        <v>Selected: FY 69 | Q2 | ทั้งหมด     Refresh: 13 Jul 2026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</row>
    <row r="4" spans="1:14" ht="15.75" customHeight="1" x14ac:dyDescent="0.15"/>
    <row r="5" spans="1:14" ht="22" customHeight="1" x14ac:dyDescent="0.15">
      <c r="A5" s="57" t="s">
        <v>53</v>
      </c>
      <c r="B5" s="57" t="s">
        <v>53</v>
      </c>
      <c r="C5" s="57" t="s">
        <v>53</v>
      </c>
      <c r="D5" s="57" t="s">
        <v>53</v>
      </c>
      <c r="E5" s="57" t="s">
        <v>53</v>
      </c>
      <c r="F5" s="57" t="s">
        <v>53</v>
      </c>
      <c r="G5" s="57" t="s">
        <v>53</v>
      </c>
      <c r="H5" s="57" t="s">
        <v>53</v>
      </c>
      <c r="I5" s="57" t="s">
        <v>53</v>
      </c>
      <c r="J5" s="57" t="s">
        <v>53</v>
      </c>
      <c r="K5" s="57" t="s">
        <v>53</v>
      </c>
      <c r="L5" s="57" t="s">
        <v>53</v>
      </c>
      <c r="M5" s="57" t="s">
        <v>53</v>
      </c>
      <c r="N5" s="57" t="s">
        <v>53</v>
      </c>
    </row>
    <row r="6" spans="1:14" ht="26" customHeight="1" x14ac:dyDescent="0.15">
      <c r="A6" s="13" t="s">
        <v>54</v>
      </c>
      <c r="B6" s="14" t="s">
        <v>55</v>
      </c>
      <c r="C6" s="14" t="s">
        <v>56</v>
      </c>
      <c r="D6" s="14" t="s">
        <v>57</v>
      </c>
      <c r="E6" s="14" t="s">
        <v>58</v>
      </c>
      <c r="F6" s="15" t="s">
        <v>59</v>
      </c>
    </row>
    <row r="7" spans="1:14" x14ac:dyDescent="0.15">
      <c r="A7" s="42">
        <f>Config!B4</f>
        <v>69</v>
      </c>
      <c r="B7" s="43" t="str">
        <f>Config!B5</f>
        <v>Q2</v>
      </c>
      <c r="C7" s="43" t="str">
        <f>Config!B6</f>
        <v>ทั้งหมด</v>
      </c>
      <c r="D7" s="43" t="str">
        <f>IF(Dashboard_Data!B9&gt;=Config!B9,"ดี",IF(Dashboard_Data!B9&gt;=Config!B8,"เฝ้าระวัง","วิกฤต"))</f>
        <v>วิกฤต</v>
      </c>
      <c r="E7" s="43" t="str">
        <f>IF(Dashboard_Data!B12&gt;=Config!B10,"ดี","เฝ้าระวัง")</f>
        <v>เฝ้าระวัง</v>
      </c>
      <c r="F7" s="44" t="str">
        <f>IF(Dashboard_Data!B15&lt;=Config!B11,"ดี","เฝ้าระวัง")</f>
        <v>ดี</v>
      </c>
    </row>
    <row r="8" spans="1:14" x14ac:dyDescent="0.15">
      <c r="A8" s="64" t="s">
        <v>60</v>
      </c>
      <c r="B8" s="65" t="s">
        <v>60</v>
      </c>
      <c r="C8" s="64" t="s">
        <v>61</v>
      </c>
      <c r="D8" s="65" t="s">
        <v>61</v>
      </c>
      <c r="E8" s="64" t="s">
        <v>62</v>
      </c>
      <c r="F8" s="65" t="s">
        <v>62</v>
      </c>
      <c r="G8" s="64" t="s">
        <v>63</v>
      </c>
      <c r="H8" s="65" t="s">
        <v>63</v>
      </c>
      <c r="I8" s="64" t="s">
        <v>64</v>
      </c>
      <c r="J8" s="65" t="s">
        <v>64</v>
      </c>
      <c r="K8" s="64" t="s">
        <v>65</v>
      </c>
      <c r="L8" s="65" t="s">
        <v>65</v>
      </c>
    </row>
    <row r="9" spans="1:14" ht="48" customHeight="1" x14ac:dyDescent="0.15">
      <c r="A9" s="72">
        <f>Dashboard_Data!B9</f>
        <v>0.35268405462033092</v>
      </c>
      <c r="B9" s="73"/>
      <c r="C9" s="58">
        <f>Dashboard_Data!B4</f>
        <v>73281544</v>
      </c>
      <c r="D9" s="59"/>
      <c r="E9" s="58">
        <f>Dashboard_Data!B5</f>
        <v>57694327</v>
      </c>
      <c r="F9" s="59"/>
      <c r="G9" s="58">
        <f>Dashboard_Data!B6</f>
        <v>15587217</v>
      </c>
      <c r="H9" s="59"/>
      <c r="I9" s="66">
        <f>Dashboard_Data!B7</f>
        <v>0.21270317393967572</v>
      </c>
      <c r="J9" s="67"/>
      <c r="K9" s="66">
        <f>Dashboard_Data!B12</f>
        <v>0.42685212249217869</v>
      </c>
      <c r="L9" s="67"/>
    </row>
    <row r="10" spans="1:14" ht="48" customHeight="1" x14ac:dyDescent="0.15">
      <c r="A10" s="74"/>
      <c r="B10" s="75"/>
      <c r="C10" s="60"/>
      <c r="D10" s="61"/>
      <c r="E10" s="60"/>
      <c r="F10" s="61"/>
      <c r="G10" s="60"/>
      <c r="H10" s="61"/>
      <c r="I10" s="68"/>
      <c r="J10" s="69"/>
      <c r="K10" s="68"/>
      <c r="L10" s="69"/>
    </row>
    <row r="11" spans="1:14" ht="48" customHeight="1" x14ac:dyDescent="0.15">
      <c r="A11" s="76"/>
      <c r="B11" s="77"/>
      <c r="C11" s="62"/>
      <c r="D11" s="63"/>
      <c r="E11" s="62"/>
      <c r="F11" s="63"/>
      <c r="G11" s="62"/>
      <c r="H11" s="63"/>
      <c r="I11" s="70"/>
      <c r="J11" s="71"/>
      <c r="K11" s="70"/>
      <c r="L11" s="71"/>
    </row>
    <row r="13" spans="1:14" ht="22" customHeight="1" x14ac:dyDescent="0.15">
      <c r="A13" s="57" t="s">
        <v>66</v>
      </c>
      <c r="B13" s="57" t="s">
        <v>66</v>
      </c>
      <c r="C13" s="57" t="s">
        <v>66</v>
      </c>
      <c r="D13" s="57" t="s">
        <v>66</v>
      </c>
      <c r="E13" s="57" t="s">
        <v>66</v>
      </c>
      <c r="F13" s="57" t="s">
        <v>66</v>
      </c>
      <c r="G13" s="57" t="s">
        <v>66</v>
      </c>
      <c r="H13" s="57" t="s">
        <v>67</v>
      </c>
      <c r="I13" s="57" t="s">
        <v>67</v>
      </c>
      <c r="J13" s="57" t="s">
        <v>67</v>
      </c>
      <c r="K13" s="57" t="s">
        <v>67</v>
      </c>
      <c r="L13" s="57" t="s">
        <v>67</v>
      </c>
      <c r="M13" s="57" t="s">
        <v>67</v>
      </c>
      <c r="N13" s="57" t="s">
        <v>67</v>
      </c>
    </row>
    <row r="14" spans="1:14" ht="26" customHeight="1" x14ac:dyDescent="0.15">
      <c r="A14" s="13" t="str">
        <f>Dashboard_Data!D3</f>
        <v>Period</v>
      </c>
      <c r="B14" s="14" t="str">
        <f>Dashboard_Data!E3</f>
        <v>Revenue</v>
      </c>
      <c r="C14" s="14" t="str">
        <f>Dashboard_Data!F3</f>
        <v>Expense</v>
      </c>
      <c r="D14" s="15" t="str">
        <f>Dashboard_Data!G3</f>
        <v>Operating Result</v>
      </c>
      <c r="H14" s="13" t="str">
        <f>Dashboard_Data!I3</f>
        <v>Budget vs Actual</v>
      </c>
      <c r="I14" s="14" t="str">
        <f>Dashboard_Data!J3</f>
        <v>Budget</v>
      </c>
      <c r="J14" s="15" t="str">
        <f>Dashboard_Data!K3</f>
        <v>Actual</v>
      </c>
    </row>
    <row r="15" spans="1:14" x14ac:dyDescent="0.15">
      <c r="A15" s="16" t="str">
        <f>Dashboard_Data!D4</f>
        <v>Q3/68</v>
      </c>
      <c r="B15" s="45">
        <f>Dashboard_Data!E4</f>
        <v>90260853</v>
      </c>
      <c r="C15" s="45">
        <f>Dashboard_Data!F4</f>
        <v>84229576</v>
      </c>
      <c r="D15" s="46">
        <f>Dashboard_Data!G4</f>
        <v>6031277</v>
      </c>
      <c r="H15" s="16" t="str">
        <f>Dashboard_Data!I4</f>
        <v>Revenue</v>
      </c>
      <c r="I15" s="45">
        <f>Dashboard_Data!J4</f>
        <v>171825100</v>
      </c>
      <c r="J15" s="46">
        <f>Dashboard_Data!K4</f>
        <v>73281544</v>
      </c>
    </row>
    <row r="16" spans="1:14" x14ac:dyDescent="0.15">
      <c r="A16" s="19" t="str">
        <f>Dashboard_Data!D5</f>
        <v>Q4/68</v>
      </c>
      <c r="B16" s="47">
        <f>Dashboard_Data!E5</f>
        <v>131408229</v>
      </c>
      <c r="C16" s="47">
        <f>Dashboard_Data!F5</f>
        <v>127865373</v>
      </c>
      <c r="D16" s="48">
        <f>Dashboard_Data!G5</f>
        <v>3542856</v>
      </c>
      <c r="H16" s="22" t="str">
        <f>Dashboard_Data!I5</f>
        <v>Expense</v>
      </c>
      <c r="I16" s="49">
        <f>Dashboard_Data!J5</f>
        <v>165565500</v>
      </c>
      <c r="J16" s="50">
        <f>Dashboard_Data!K5</f>
        <v>57694327</v>
      </c>
    </row>
    <row r="17" spans="1:14" x14ac:dyDescent="0.15">
      <c r="A17" s="19" t="str">
        <f>Dashboard_Data!D6</f>
        <v>Q1/69</v>
      </c>
      <c r="B17" s="47">
        <f>Dashboard_Data!E6</f>
        <v>46683658</v>
      </c>
      <c r="C17" s="47">
        <f>Dashboard_Data!F6</f>
        <v>51712260</v>
      </c>
      <c r="D17" s="48">
        <f>Dashboard_Data!G6</f>
        <v>-5028602</v>
      </c>
    </row>
    <row r="18" spans="1:14" x14ac:dyDescent="0.15">
      <c r="A18" s="22" t="str">
        <f>Dashboard_Data!D7</f>
        <v>Q2/69</v>
      </c>
      <c r="B18" s="49">
        <f>Dashboard_Data!E7</f>
        <v>73281544</v>
      </c>
      <c r="C18" s="49">
        <f>Dashboard_Data!F7</f>
        <v>57694327</v>
      </c>
      <c r="D18" s="50">
        <f>Dashboard_Data!G7</f>
        <v>15587217</v>
      </c>
    </row>
    <row r="29" spans="1:14" ht="22" customHeight="1" x14ac:dyDescent="0.15">
      <c r="A29" s="57" t="s">
        <v>68</v>
      </c>
      <c r="B29" s="57" t="s">
        <v>68</v>
      </c>
      <c r="C29" s="57" t="s">
        <v>68</v>
      </c>
      <c r="D29" s="57" t="s">
        <v>68</v>
      </c>
      <c r="E29" s="57" t="s">
        <v>68</v>
      </c>
      <c r="F29" s="57" t="s">
        <v>68</v>
      </c>
      <c r="G29" s="57" t="s">
        <v>68</v>
      </c>
      <c r="H29" s="57" t="s">
        <v>69</v>
      </c>
      <c r="I29" s="57" t="s">
        <v>69</v>
      </c>
      <c r="J29" s="57" t="s">
        <v>69</v>
      </c>
      <c r="K29" s="57" t="s">
        <v>69</v>
      </c>
      <c r="L29" s="57" t="s">
        <v>69</v>
      </c>
      <c r="M29" s="57" t="s">
        <v>69</v>
      </c>
      <c r="N29" s="57" t="s">
        <v>69</v>
      </c>
    </row>
    <row r="30" spans="1:14" ht="26" customHeight="1" x14ac:dyDescent="0.15">
      <c r="A30" s="13" t="str">
        <f>รายรับรายจ่ายกำไร_ย่อย!A1</f>
        <v>Sub-unit (A)</v>
      </c>
      <c r="B30" s="14" t="str">
        <f>รายรับรายจ่ายกำไร_ย่อย!B1</f>
        <v>Revenue (B)</v>
      </c>
      <c r="C30" s="14" t="str">
        <f>รายรับรายจ่ายกำไร_ย่อย!C1</f>
        <v>Expenses (C)</v>
      </c>
      <c r="D30" s="14" t="str">
        <f>รายรับรายจ่ายกำไร_ย่อย!D1</f>
        <v>Net Profit (D)</v>
      </c>
      <c r="E30" s="15" t="str">
        <f>รายรับรายจ่ายกำไร_ย่อย!F1</f>
        <v>proportion</v>
      </c>
      <c r="H30" s="13" t="s">
        <v>70</v>
      </c>
      <c r="I30" s="14" t="s">
        <v>71</v>
      </c>
      <c r="J30" s="15" t="s">
        <v>72</v>
      </c>
    </row>
    <row r="31" spans="1:14" x14ac:dyDescent="0.15">
      <c r="A31" s="16" t="str">
        <f>รายรับรายจ่ายกำไร_ย่อย!A2</f>
        <v>สำนักงาน คณะสัตวแพทยศาสตร์</v>
      </c>
      <c r="B31" s="45">
        <f>รายรับรายจ่ายกำไร_ย่อย!B2</f>
        <v>18542474</v>
      </c>
      <c r="C31" s="45">
        <f>รายรับรายจ่ายกำไร_ย่อย!C2</f>
        <v>14354999</v>
      </c>
      <c r="D31" s="45">
        <f>รายรับรายจ่ายกำไร_ย่อย!D2</f>
        <v>4187475</v>
      </c>
      <c r="E31" s="51">
        <f>รายรับรายจ่ายกำไร_ย่อย!F2</f>
        <v>1.2917084842708801</v>
      </c>
      <c r="H31" s="16" t="s">
        <v>73</v>
      </c>
      <c r="I31" s="45">
        <f>SUMIFS(Data_Clean!$K$3:$K$1000,Data_Clean!$H$3:$H$1000,"Government Budget",Data_Clean!$A$3:$A$1000,Config!$B$4,Data_Clean!$B$3:$B$1000,Config!$B$5)</f>
        <v>207098179</v>
      </c>
      <c r="J31" s="90"/>
    </row>
    <row r="32" spans="1:14" x14ac:dyDescent="0.15">
      <c r="A32" s="19" t="str">
        <f>รายรับรายจ่ายกำไร_ย่อย!A3</f>
        <v>ศูนย์การเรียนรู้และส่งเสริมสุขภาพสัตว์ภาคเหนือ(NOVEL)</v>
      </c>
      <c r="B32" s="47">
        <f>รายรับรายจ่ายกำไร_ย่อย!B3</f>
        <v>39787921</v>
      </c>
      <c r="C32" s="47">
        <f>รายรับรายจ่ายกำไร_ย่อย!C3</f>
        <v>31034819</v>
      </c>
      <c r="D32" s="47">
        <f>รายรับรายจ่ายกำไร_ย่อย!D3</f>
        <v>8753102</v>
      </c>
      <c r="E32" s="35">
        <f>รายรับรายจ่ายกำไร_ย่อย!F3</f>
        <v>1.2820413420165266</v>
      </c>
      <c r="H32" s="19" t="s">
        <v>74</v>
      </c>
      <c r="I32" s="47">
        <f>SUMIFS(Data_Clean!$K$3:$K$1000,Data_Clean!$H$3:$H$1000,"Government Actual",Data_Clean!$A$3:$A$1000,Config!$B$4,Data_Clean!$B$3:$B$1000,Config!$B$5)</f>
        <v>89248624</v>
      </c>
      <c r="J32" s="91"/>
    </row>
    <row r="33" spans="1:10" x14ac:dyDescent="0.15">
      <c r="A33" s="19" t="str">
        <f>รายรับรายจ่ายกำไร_ย่อย!A4</f>
        <v>(โรงพยาบาลสัตว์แม่ออน)</v>
      </c>
      <c r="B33" s="47">
        <f>รายรับรายจ่ายกำไร_ย่อย!B4</f>
        <v>1762983</v>
      </c>
      <c r="C33" s="47">
        <f>รายรับรายจ่ายกำไร_ย่อย!C4</f>
        <v>1511583</v>
      </c>
      <c r="D33" s="47">
        <f>รายรับรายจ่ายกำไร_ย่อย!D4</f>
        <v>251400</v>
      </c>
      <c r="E33" s="35">
        <f>รายรับรายจ่ายกำไร_ย่อย!F4</f>
        <v>1.1663157100867105</v>
      </c>
      <c r="H33" s="19" t="s">
        <v>75</v>
      </c>
      <c r="I33" s="52">
        <f>IFERROR(I32/I31,0)</f>
        <v>0.4309483764219868</v>
      </c>
      <c r="J33" s="91" t="str">
        <f>IF(I33&lt;=Config!B11,"ดี","เฝ้าระวัง")</f>
        <v>ดี</v>
      </c>
    </row>
    <row r="34" spans="1:10" x14ac:dyDescent="0.15">
      <c r="A34" s="19" t="str">
        <f>รายรับรายจ่ายกำไร_ย่อย!A5</f>
        <v>โรงพยาบาลสัตว์ใหญ่และปศุสัตว์</v>
      </c>
      <c r="B34" s="47">
        <f>รายรับรายจ่ายกำไร_ย่อย!B5</f>
        <v>1008535</v>
      </c>
      <c r="C34" s="47">
        <f>รายรับรายจ่ายกำไร_ย่อย!C5</f>
        <v>1002935</v>
      </c>
      <c r="D34" s="47">
        <f>รายรับรายจ่ายกำไร_ย่อย!D5</f>
        <v>5600</v>
      </c>
      <c r="E34" s="35">
        <f>รายรับรายจ่ายกำไร_ย่อย!F5</f>
        <v>1.0055836120984909</v>
      </c>
      <c r="H34" s="19" t="s">
        <v>76</v>
      </c>
      <c r="I34" s="53">
        <f>Dashboard_Data!B9</f>
        <v>0.35268405462033092</v>
      </c>
      <c r="J34" s="91" t="str">
        <f>IF(I34&gt;=Config!B9,"ดี",IF(I34&gt;=Config!B8,"เฝ้าระวัง","วิกฤต"))</f>
        <v>วิกฤต</v>
      </c>
    </row>
    <row r="35" spans="1:10" x14ac:dyDescent="0.15">
      <c r="A35" s="19" t="str">
        <f>รายรับรายจ่ายกำไร_ย่อย!A6</f>
        <v>ศูนย์สุขภาพช้างและสัตว์ป่า</v>
      </c>
      <c r="B35" s="47">
        <f>รายรับรายจ่ายกำไร_ย่อย!B6</f>
        <v>1044605</v>
      </c>
      <c r="C35" s="47">
        <f>รายรับรายจ่ายกำไร_ย่อย!C6</f>
        <v>396333</v>
      </c>
      <c r="D35" s="47">
        <f>รายรับรายจ่ายกำไร_ย่อย!D6</f>
        <v>648272</v>
      </c>
      <c r="E35" s="35">
        <f>รายรับรายจ่ายกำไร_ย่อย!F6</f>
        <v>2.6356750510303204</v>
      </c>
      <c r="H35" s="22" t="s">
        <v>77</v>
      </c>
      <c r="I35" s="23" t="s">
        <v>78</v>
      </c>
      <c r="J35" s="24"/>
    </row>
    <row r="36" spans="1:10" x14ac:dyDescent="0.15">
      <c r="A36" s="19" t="str">
        <f>รายรับรายจ่ายกำไร_ย่อย!A7</f>
        <v>ศูนย์ชันเวชศาสตร์ชันสูตรและนวัตกรรมด้านสุขภาพสัตว์</v>
      </c>
      <c r="B36" s="47">
        <f>รายรับรายจ่ายกำไร_ย่อย!B7</f>
        <v>2741058</v>
      </c>
      <c r="C36" s="47">
        <f>รายรับรายจ่ายกำไร_ย่อย!C7</f>
        <v>2740822</v>
      </c>
      <c r="D36" s="47">
        <f>รายรับรายจ่ายกำไร_ย่อย!D7</f>
        <v>236</v>
      </c>
      <c r="E36" s="35">
        <f>รายรับรายจ่ายกำไร_ย่อย!F7</f>
        <v>1.0000861055551948</v>
      </c>
    </row>
    <row r="37" spans="1:10" x14ac:dyDescent="0.15">
      <c r="A37" s="19" t="str">
        <f>รายรับรายจ่ายกำไร_ย่อย!A8</f>
        <v>ศูนย์ความเป็นเลิศด้านเวชศาสตร์แมว</v>
      </c>
      <c r="B37" s="47">
        <f>รายรับรายจ่ายกำไร_ย่อย!B8</f>
        <v>0</v>
      </c>
      <c r="C37" s="47">
        <f>รายรับรายจ่ายกำไร_ย่อย!C8</f>
        <v>0</v>
      </c>
      <c r="D37" s="47">
        <f>รายรับรายจ่ายกำไร_ย่อย!D8</f>
        <v>0</v>
      </c>
      <c r="E37" s="35">
        <f>รายรับรายจ่ายกำไร_ย่อย!F8</f>
        <v>0</v>
      </c>
    </row>
    <row r="38" spans="1:10" x14ac:dyDescent="0.15">
      <c r="A38" s="19" t="str">
        <f>รายรับรายจ่ายกำไร_ย่อย!A9</f>
        <v>Pet CMU (กลุ่มงานบ่มเพาะวิสาหกิจทางสัตวแพทย์)</v>
      </c>
      <c r="B38" s="47">
        <f>รายรับรายจ่ายกำไร_ย่อย!B9</f>
        <v>7351957</v>
      </c>
      <c r="C38" s="47">
        <f>รายรับรายจ่ายกำไร_ย่อย!C9</f>
        <v>4155836</v>
      </c>
      <c r="D38" s="47">
        <f>รายรับรายจ่ายกำไร_ย่อย!D9</f>
        <v>3196121</v>
      </c>
      <c r="E38" s="35">
        <f>รายรับรายจ่ายกำไร_ย่อย!F9</f>
        <v>1.7690681249211953</v>
      </c>
    </row>
    <row r="39" spans="1:10" x14ac:dyDescent="0.15">
      <c r="A39" s="19" t="str">
        <f>รายรับรายจ่ายกำไร_ย่อย!A10</f>
        <v>ศูนย์สัตวแพทย์สาธารณสุขและอาหารปลอดภัยเอเชียแปซิฟิก</v>
      </c>
      <c r="B39" s="47">
        <f>รายรับรายจ่ายกำไร_ย่อย!B10</f>
        <v>11985</v>
      </c>
      <c r="C39" s="47">
        <f>รายรับรายจ่ายกำไร_ย่อย!C10</f>
        <v>189641</v>
      </c>
      <c r="D39" s="47">
        <f>รายรับรายจ่ายกำไร_ย่อย!D10</f>
        <v>-177656</v>
      </c>
      <c r="E39" s="35">
        <f>รายรับรายจ่ายกำไร_ย่อย!F10</f>
        <v>6.3198359004645627E-2</v>
      </c>
    </row>
    <row r="40" spans="1:10" x14ac:dyDescent="0.15">
      <c r="A40" s="19" t="str">
        <f>รายรับรายจ่ายกำไร_ย่อย!A11</f>
        <v>ศูนย์เฝ้าระวังสุขภาพหนึ่งเดียว PODD</v>
      </c>
      <c r="B40" s="47">
        <f>รายรับรายจ่ายกำไร_ย่อย!B11</f>
        <v>1029558</v>
      </c>
      <c r="C40" s="47">
        <f>รายรับรายจ่ายกำไร_ย่อย!C11</f>
        <v>2307358</v>
      </c>
      <c r="D40" s="47">
        <f>รายรับรายจ่ายกำไร_ย่อย!D11</f>
        <v>-1277800</v>
      </c>
      <c r="E40" s="35">
        <f>รายรับรายจ่ายกำไร_ย่อย!F11</f>
        <v>0.44620644043967167</v>
      </c>
    </row>
    <row r="41" spans="1:10" x14ac:dyDescent="0.15">
      <c r="A41" s="22" t="str">
        <f>รายรับรายจ่ายกำไร_ย่อย!A12</f>
        <v>สำนักงานโรงพยาบาลสัตว์(ศรีบัวบาน)</v>
      </c>
      <c r="B41" s="49">
        <f>รายรับรายจ่ายกำไร_ย่อย!B12</f>
        <v>0</v>
      </c>
      <c r="C41" s="49">
        <f>รายรับรายจ่ายกำไร_ย่อย!C12</f>
        <v>0</v>
      </c>
      <c r="D41" s="49">
        <f>รายรับรายจ่ายกำไร_ย่อย!D12</f>
        <v>0</v>
      </c>
      <c r="E41" s="36">
        <f>รายรับรายจ่ายกำไร_ย่อย!F12</f>
        <v>0</v>
      </c>
    </row>
  </sheetData>
  <mergeCells count="20">
    <mergeCell ref="A1:N1"/>
    <mergeCell ref="A2:N2"/>
    <mergeCell ref="A3:N3"/>
    <mergeCell ref="A5:N5"/>
    <mergeCell ref="A8:B8"/>
    <mergeCell ref="G8:H8"/>
    <mergeCell ref="I8:J8"/>
    <mergeCell ref="I9:J11"/>
    <mergeCell ref="K8:L8"/>
    <mergeCell ref="K9:L11"/>
    <mergeCell ref="A9:B11"/>
    <mergeCell ref="C8:D8"/>
    <mergeCell ref="C9:D11"/>
    <mergeCell ref="E8:F8"/>
    <mergeCell ref="E9:F11"/>
    <mergeCell ref="A13:G13"/>
    <mergeCell ref="H13:N13"/>
    <mergeCell ref="A29:G29"/>
    <mergeCell ref="H29:N29"/>
    <mergeCell ref="G9:H11"/>
  </mergeCells>
  <conditionalFormatting sqref="D7:F7">
    <cfRule type="containsText" dxfId="3" priority="1" operator="containsText" text="ดี"/>
    <cfRule type="containsText" dxfId="2" priority="2" operator="containsText" text="เฝ้าระวัง"/>
    <cfRule type="containsText" dxfId="1" priority="3" operator="containsText" text="วิกฤต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A2" sqref="A2"/>
    </sheetView>
  </sheetViews>
  <sheetFormatPr baseColWidth="10" defaultColWidth="12.6640625" defaultRowHeight="13" x14ac:dyDescent="0.15"/>
  <cols>
    <col min="1" max="1" width="13.6640625" customWidth="1"/>
    <col min="2" max="2" width="14.33203125" customWidth="1"/>
    <col min="3" max="3" width="16.33203125" customWidth="1"/>
    <col min="4" max="4" width="13.6640625" customWidth="1"/>
  </cols>
  <sheetData>
    <row r="1" spans="1:6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15">
      <c r="A2" s="2" t="s">
        <v>6</v>
      </c>
      <c r="B2" s="3">
        <v>97630000</v>
      </c>
      <c r="C2" s="3">
        <v>630450000</v>
      </c>
      <c r="D2" s="3">
        <v>276820000</v>
      </c>
      <c r="E2" s="4" t="s">
        <v>7</v>
      </c>
      <c r="F2" s="5">
        <f t="shared" ref="F2:F5" si="0">B2/D2</f>
        <v>0.35268405462033092</v>
      </c>
    </row>
    <row r="3" spans="1:6" ht="30" customHeight="1" x14ac:dyDescent="0.15">
      <c r="A3" s="2" t="s">
        <v>8</v>
      </c>
      <c r="B3" s="3">
        <v>109300000</v>
      </c>
      <c r="C3" s="3">
        <v>606210000</v>
      </c>
      <c r="D3" s="3">
        <v>258040000</v>
      </c>
      <c r="E3" s="4" t="s">
        <v>9</v>
      </c>
      <c r="F3" s="5">
        <f t="shared" si="0"/>
        <v>0.42357773988528913</v>
      </c>
    </row>
    <row r="4" spans="1:6" ht="30" customHeight="1" x14ac:dyDescent="0.15">
      <c r="A4" s="2" t="s">
        <v>10</v>
      </c>
      <c r="B4" s="3">
        <v>133880000</v>
      </c>
      <c r="C4" s="6">
        <v>597120000</v>
      </c>
      <c r="D4" s="3">
        <v>268960000</v>
      </c>
      <c r="E4" s="4" t="s">
        <v>11</v>
      </c>
      <c r="F4" s="5">
        <f t="shared" si="0"/>
        <v>0.49776918500892325</v>
      </c>
    </row>
    <row r="5" spans="1:6" ht="30" customHeight="1" x14ac:dyDescent="0.15">
      <c r="A5" s="2" t="s">
        <v>12</v>
      </c>
      <c r="B5" s="3">
        <v>91620000</v>
      </c>
      <c r="C5" s="6">
        <v>597150000</v>
      </c>
      <c r="D5" s="3">
        <v>260360000</v>
      </c>
      <c r="E5" s="4" t="s">
        <v>7</v>
      </c>
      <c r="F5" s="5">
        <f t="shared" si="0"/>
        <v>0.35189737286833617</v>
      </c>
    </row>
  </sheetData>
  <dataValidations count="1">
    <dataValidation type="custom" allowBlank="1" showDropDown="1" sqref="F2:F5" xr:uid="{00000000-0002-0000-0100-000000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ColWidth="12.6640625" defaultRowHeight="13" x14ac:dyDescent="0.15"/>
  <cols>
    <col min="1" max="1" width="13.6640625" customWidth="1"/>
    <col min="2" max="2" width="14.33203125" customWidth="1"/>
    <col min="3" max="4" width="15.1640625" customWidth="1"/>
    <col min="5" max="5" width="18" customWidth="1"/>
    <col min="6" max="6" width="13.1640625" customWidth="1"/>
  </cols>
  <sheetData>
    <row r="1" spans="1:6" ht="30" customHeight="1" x14ac:dyDescent="0.1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5</v>
      </c>
    </row>
    <row r="2" spans="1:6" ht="30" customHeight="1" x14ac:dyDescent="0.15">
      <c r="A2" s="2" t="s">
        <v>6</v>
      </c>
      <c r="B2" s="3">
        <v>73281544</v>
      </c>
      <c r="C2" s="3">
        <v>57694327</v>
      </c>
      <c r="D2" s="3">
        <f t="shared" ref="D2:D5" si="0">B2-C2</f>
        <v>15587217</v>
      </c>
      <c r="E2" s="4" t="s">
        <v>17</v>
      </c>
      <c r="F2" s="4">
        <f t="shared" ref="F2:F5" si="1">B2/C2</f>
        <v>1.2701689717257643</v>
      </c>
    </row>
    <row r="3" spans="1:6" ht="30" customHeight="1" x14ac:dyDescent="0.15">
      <c r="A3" s="2" t="s">
        <v>8</v>
      </c>
      <c r="B3" s="3">
        <v>46683658</v>
      </c>
      <c r="C3" s="3">
        <v>51712260</v>
      </c>
      <c r="D3" s="3">
        <f t="shared" si="0"/>
        <v>-5028602</v>
      </c>
      <c r="E3" s="4" t="s">
        <v>18</v>
      </c>
      <c r="F3" s="4">
        <f t="shared" si="1"/>
        <v>0.90275803068750038</v>
      </c>
    </row>
    <row r="4" spans="1:6" ht="30" customHeight="1" x14ac:dyDescent="0.15">
      <c r="A4" s="2" t="s">
        <v>10</v>
      </c>
      <c r="B4" s="3">
        <v>131408229</v>
      </c>
      <c r="C4" s="6">
        <v>127865373</v>
      </c>
      <c r="D4" s="3">
        <f t="shared" si="0"/>
        <v>3542856</v>
      </c>
      <c r="E4" s="4" t="s">
        <v>19</v>
      </c>
      <c r="F4" s="4">
        <f t="shared" si="1"/>
        <v>1.0277077047278469</v>
      </c>
    </row>
    <row r="5" spans="1:6" ht="30" customHeight="1" x14ac:dyDescent="0.15">
      <c r="A5" s="2" t="s">
        <v>12</v>
      </c>
      <c r="B5" s="3">
        <v>90260853</v>
      </c>
      <c r="C5" s="6">
        <v>84229576</v>
      </c>
      <c r="D5" s="3">
        <f t="shared" si="0"/>
        <v>6031277</v>
      </c>
      <c r="E5" s="4" t="s">
        <v>20</v>
      </c>
      <c r="F5" s="4">
        <f t="shared" si="1"/>
        <v>1.071605216201017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baseColWidth="10" defaultColWidth="12.6640625" defaultRowHeight="13" x14ac:dyDescent="0.15"/>
  <cols>
    <col min="1" max="1" width="41.1640625" customWidth="1"/>
    <col min="2" max="6" width="22.6640625" customWidth="1"/>
  </cols>
  <sheetData>
    <row r="1" spans="1:6" ht="30" customHeight="1" x14ac:dyDescent="0.15">
      <c r="A1" s="1" t="s">
        <v>21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5</v>
      </c>
    </row>
    <row r="2" spans="1:6" ht="30" customHeight="1" x14ac:dyDescent="0.15">
      <c r="A2" s="1" t="s">
        <v>22</v>
      </c>
      <c r="B2" s="6">
        <v>18542474</v>
      </c>
      <c r="C2" s="6">
        <v>14354999</v>
      </c>
      <c r="D2" s="6">
        <f t="shared" ref="D2:D12" si="0">B2-C2</f>
        <v>4187475</v>
      </c>
      <c r="E2" s="4" t="s">
        <v>23</v>
      </c>
      <c r="F2" s="7">
        <f t="shared" ref="F2:F7" si="1">B2/C2</f>
        <v>1.2917084842708801</v>
      </c>
    </row>
    <row r="3" spans="1:6" ht="30" customHeight="1" x14ac:dyDescent="0.15">
      <c r="A3" s="2" t="s">
        <v>24</v>
      </c>
      <c r="B3" s="6">
        <v>39787921</v>
      </c>
      <c r="C3" s="6">
        <v>31034819</v>
      </c>
      <c r="D3" s="6">
        <f t="shared" si="0"/>
        <v>8753102</v>
      </c>
      <c r="E3" s="4" t="s">
        <v>25</v>
      </c>
      <c r="F3" s="7">
        <f t="shared" si="1"/>
        <v>1.2820413420165266</v>
      </c>
    </row>
    <row r="4" spans="1:6" ht="30" customHeight="1" x14ac:dyDescent="0.15">
      <c r="A4" s="2" t="s">
        <v>26</v>
      </c>
      <c r="B4" s="6">
        <v>1762983</v>
      </c>
      <c r="C4" s="6">
        <v>1511583</v>
      </c>
      <c r="D4" s="6">
        <f t="shared" si="0"/>
        <v>251400</v>
      </c>
      <c r="E4" s="4" t="s">
        <v>27</v>
      </c>
      <c r="F4" s="7">
        <f t="shared" si="1"/>
        <v>1.1663157100867105</v>
      </c>
    </row>
    <row r="5" spans="1:6" ht="30" customHeight="1" x14ac:dyDescent="0.15">
      <c r="A5" s="2" t="s">
        <v>28</v>
      </c>
      <c r="B5" s="6">
        <v>1008535</v>
      </c>
      <c r="C5" s="6">
        <v>1002935</v>
      </c>
      <c r="D5" s="6">
        <f t="shared" si="0"/>
        <v>5600</v>
      </c>
      <c r="E5" s="4" t="s">
        <v>29</v>
      </c>
      <c r="F5" s="7">
        <f t="shared" si="1"/>
        <v>1.0055836120984909</v>
      </c>
    </row>
    <row r="6" spans="1:6" ht="30" customHeight="1" x14ac:dyDescent="0.15">
      <c r="A6" s="2" t="s">
        <v>30</v>
      </c>
      <c r="B6" s="6">
        <v>1044605</v>
      </c>
      <c r="C6" s="6">
        <v>396333</v>
      </c>
      <c r="D6" s="6">
        <f t="shared" si="0"/>
        <v>648272</v>
      </c>
      <c r="E6" s="4" t="s">
        <v>31</v>
      </c>
      <c r="F6" s="7">
        <f t="shared" si="1"/>
        <v>2.6356750510303204</v>
      </c>
    </row>
    <row r="7" spans="1:6" ht="30" customHeight="1" x14ac:dyDescent="0.15">
      <c r="A7" s="2" t="s">
        <v>32</v>
      </c>
      <c r="B7" s="6">
        <v>2741058</v>
      </c>
      <c r="C7" s="6">
        <v>2740822</v>
      </c>
      <c r="D7" s="6">
        <f t="shared" si="0"/>
        <v>236</v>
      </c>
      <c r="E7" s="4" t="s">
        <v>33</v>
      </c>
      <c r="F7" s="7">
        <f t="shared" si="1"/>
        <v>1.0000861055551948</v>
      </c>
    </row>
    <row r="8" spans="1:6" ht="30" customHeight="1" x14ac:dyDescent="0.15">
      <c r="A8" s="2" t="s">
        <v>34</v>
      </c>
      <c r="B8" s="4">
        <v>0</v>
      </c>
      <c r="C8" s="4">
        <v>0</v>
      </c>
      <c r="D8" s="4">
        <f t="shared" si="0"/>
        <v>0</v>
      </c>
      <c r="E8" s="4">
        <v>0</v>
      </c>
      <c r="F8" s="7">
        <v>0</v>
      </c>
    </row>
    <row r="9" spans="1:6" ht="30" customHeight="1" x14ac:dyDescent="0.15">
      <c r="A9" s="2" t="s">
        <v>35</v>
      </c>
      <c r="B9" s="6">
        <v>7351957</v>
      </c>
      <c r="C9" s="6">
        <v>4155836</v>
      </c>
      <c r="D9" s="6">
        <f t="shared" si="0"/>
        <v>3196121</v>
      </c>
      <c r="E9" s="4" t="s">
        <v>36</v>
      </c>
      <c r="F9" s="7">
        <f t="shared" ref="F9:F11" si="2">B9/C9</f>
        <v>1.7690681249211953</v>
      </c>
    </row>
    <row r="10" spans="1:6" ht="30" customHeight="1" x14ac:dyDescent="0.15">
      <c r="A10" s="2" t="s">
        <v>37</v>
      </c>
      <c r="B10" s="6">
        <v>11985</v>
      </c>
      <c r="C10" s="6">
        <v>189641</v>
      </c>
      <c r="D10" s="6">
        <f t="shared" si="0"/>
        <v>-177656</v>
      </c>
      <c r="E10" s="4" t="s">
        <v>38</v>
      </c>
      <c r="F10" s="7">
        <f t="shared" si="2"/>
        <v>6.3198359004645627E-2</v>
      </c>
    </row>
    <row r="11" spans="1:6" ht="30" customHeight="1" x14ac:dyDescent="0.15">
      <c r="A11" s="2" t="s">
        <v>39</v>
      </c>
      <c r="B11" s="6">
        <v>1029558</v>
      </c>
      <c r="C11" s="6">
        <v>2307358</v>
      </c>
      <c r="D11" s="6">
        <f t="shared" si="0"/>
        <v>-1277800</v>
      </c>
      <c r="E11" s="4" t="s">
        <v>40</v>
      </c>
      <c r="F11" s="7">
        <f t="shared" si="2"/>
        <v>0.44620644043967167</v>
      </c>
    </row>
    <row r="12" spans="1:6" ht="30" customHeight="1" x14ac:dyDescent="0.15">
      <c r="A12" s="2" t="s">
        <v>41</v>
      </c>
      <c r="B12" s="4">
        <v>0</v>
      </c>
      <c r="C12" s="4">
        <v>0</v>
      </c>
      <c r="D12" s="4">
        <f t="shared" si="0"/>
        <v>0</v>
      </c>
      <c r="E12" s="4">
        <v>0</v>
      </c>
      <c r="F12" s="7">
        <v>0</v>
      </c>
    </row>
  </sheetData>
  <dataValidations count="1">
    <dataValidation type="custom" allowBlank="1" showDropDown="1" sqref="F2:F12" xr:uid="{00000000-0002-0000-0300-000000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baseColWidth="10" defaultColWidth="12.6640625" defaultRowHeight="13" x14ac:dyDescent="0.15"/>
  <cols>
    <col min="1" max="1" width="15.6640625" customWidth="1"/>
    <col min="2" max="2" width="19.1640625" customWidth="1"/>
    <col min="3" max="3" width="14.1640625" customWidth="1"/>
    <col min="4" max="4" width="19.5" customWidth="1"/>
  </cols>
  <sheetData>
    <row r="1" spans="1:4" ht="30" customHeight="1" x14ac:dyDescent="0.15">
      <c r="A1" s="1" t="s">
        <v>42</v>
      </c>
      <c r="B1" s="1" t="s">
        <v>43</v>
      </c>
      <c r="C1" s="1" t="s">
        <v>44</v>
      </c>
      <c r="D1" s="8" t="s">
        <v>45</v>
      </c>
    </row>
    <row r="2" spans="1:4" ht="30" customHeight="1" x14ac:dyDescent="0.15">
      <c r="A2" s="2" t="s">
        <v>46</v>
      </c>
      <c r="B2" s="6">
        <v>171825100</v>
      </c>
      <c r="C2" s="6">
        <v>73281544</v>
      </c>
      <c r="D2" s="9">
        <f>ตาราง3[Revenue Q2]/ตาราง3[Budgeted Revenue]</f>
        <v>0.42648916834618456</v>
      </c>
    </row>
  </sheetData>
  <dataValidations count="1">
    <dataValidation type="custom" allowBlank="1" showDropDown="1" sqref="D2" xr:uid="{00000000-0002-0000-0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/>
  </sheetViews>
  <sheetFormatPr baseColWidth="10" defaultColWidth="12.6640625" defaultRowHeight="13" x14ac:dyDescent="0.15"/>
  <cols>
    <col min="1" max="1" width="42.6640625" customWidth="1"/>
    <col min="2" max="2" width="19.1640625" customWidth="1"/>
    <col min="3" max="3" width="14.1640625" customWidth="1"/>
    <col min="4" max="4" width="19.5" customWidth="1"/>
  </cols>
  <sheetData>
    <row r="1" spans="1:4" ht="30" customHeight="1" x14ac:dyDescent="0.15">
      <c r="A1" s="1" t="s">
        <v>21</v>
      </c>
      <c r="B1" s="1" t="s">
        <v>43</v>
      </c>
      <c r="C1" s="1" t="s">
        <v>44</v>
      </c>
      <c r="D1" s="8" t="s">
        <v>45</v>
      </c>
    </row>
    <row r="2" spans="1:4" ht="30" customHeight="1" x14ac:dyDescent="0.15">
      <c r="A2" s="1" t="s">
        <v>22</v>
      </c>
      <c r="B2" s="6">
        <v>28518000</v>
      </c>
      <c r="C2" s="6">
        <v>18542474</v>
      </c>
      <c r="D2" s="10">
        <f t="shared" ref="D2:D7" si="0">C2/B2</f>
        <v>0.65020246861631248</v>
      </c>
    </row>
    <row r="3" spans="1:4" ht="30" customHeight="1" x14ac:dyDescent="0.15">
      <c r="A3" s="2" t="s">
        <v>24</v>
      </c>
      <c r="B3" s="6">
        <v>114900000</v>
      </c>
      <c r="C3" s="6">
        <v>39787921</v>
      </c>
      <c r="D3" s="10">
        <f t="shared" si="0"/>
        <v>0.34628303742384681</v>
      </c>
    </row>
    <row r="4" spans="1:4" ht="30" customHeight="1" x14ac:dyDescent="0.15">
      <c r="A4" s="2" t="s">
        <v>26</v>
      </c>
      <c r="B4" s="6">
        <v>3449600</v>
      </c>
      <c r="C4" s="6">
        <v>1762983</v>
      </c>
      <c r="D4" s="10">
        <f t="shared" si="0"/>
        <v>0.51106881957328387</v>
      </c>
    </row>
    <row r="5" spans="1:4" ht="30" customHeight="1" x14ac:dyDescent="0.15">
      <c r="A5" s="2" t="s">
        <v>28</v>
      </c>
      <c r="B5" s="6">
        <v>2176700</v>
      </c>
      <c r="C5" s="6">
        <v>1008535</v>
      </c>
      <c r="D5" s="10">
        <f t="shared" si="0"/>
        <v>0.46333210823723986</v>
      </c>
    </row>
    <row r="6" spans="1:4" ht="30" customHeight="1" x14ac:dyDescent="0.15">
      <c r="A6" s="2" t="s">
        <v>30</v>
      </c>
      <c r="B6" s="6">
        <v>2173300</v>
      </c>
      <c r="C6" s="6">
        <v>1044605</v>
      </c>
      <c r="D6" s="10">
        <f t="shared" si="0"/>
        <v>0.48065384438411635</v>
      </c>
    </row>
    <row r="7" spans="1:4" ht="30" customHeight="1" x14ac:dyDescent="0.15">
      <c r="A7" s="2" t="s">
        <v>32</v>
      </c>
      <c r="B7" s="6">
        <v>7074000</v>
      </c>
      <c r="C7" s="6">
        <v>2741058</v>
      </c>
      <c r="D7" s="10">
        <f t="shared" si="0"/>
        <v>0.38748346055979643</v>
      </c>
    </row>
    <row r="8" spans="1:4" ht="30" customHeight="1" x14ac:dyDescent="0.15">
      <c r="A8" s="2" t="s">
        <v>34</v>
      </c>
      <c r="B8" s="4">
        <v>0</v>
      </c>
      <c r="C8" s="4">
        <v>0</v>
      </c>
      <c r="D8" s="10">
        <v>0</v>
      </c>
    </row>
    <row r="9" spans="1:4" ht="30" customHeight="1" x14ac:dyDescent="0.15">
      <c r="A9" s="2" t="s">
        <v>35</v>
      </c>
      <c r="B9" s="6">
        <v>7959800</v>
      </c>
      <c r="C9" s="6">
        <v>7351957</v>
      </c>
      <c r="D9" s="10">
        <f t="shared" ref="D9:D12" si="1">C9/B9</f>
        <v>0.92363589537425561</v>
      </c>
    </row>
    <row r="10" spans="1:4" ht="30" customHeight="1" x14ac:dyDescent="0.15">
      <c r="A10" s="2" t="s">
        <v>37</v>
      </c>
      <c r="B10" s="6">
        <v>526500</v>
      </c>
      <c r="C10" s="6">
        <v>11985</v>
      </c>
      <c r="D10" s="10">
        <f t="shared" si="1"/>
        <v>2.2763532763532764E-2</v>
      </c>
    </row>
    <row r="11" spans="1:4" ht="30" customHeight="1" x14ac:dyDescent="0.15">
      <c r="A11" s="2" t="s">
        <v>39</v>
      </c>
      <c r="B11" s="6">
        <v>4200000</v>
      </c>
      <c r="C11" s="6">
        <v>1029558</v>
      </c>
      <c r="D11" s="10">
        <f t="shared" si="1"/>
        <v>0.24513285714285715</v>
      </c>
    </row>
    <row r="12" spans="1:4" ht="30" customHeight="1" x14ac:dyDescent="0.15">
      <c r="A12" s="2" t="s">
        <v>41</v>
      </c>
      <c r="B12" s="6">
        <v>700000</v>
      </c>
      <c r="C12" s="4">
        <v>0</v>
      </c>
      <c r="D12" s="10">
        <f t="shared" si="1"/>
        <v>0</v>
      </c>
    </row>
  </sheetData>
  <dataValidations count="1">
    <dataValidation type="custom" allowBlank="1" showDropDown="1" sqref="D2:D12" xr:uid="{00000000-0002-0000-0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12.6640625" defaultRowHeight="13" x14ac:dyDescent="0.15"/>
  <cols>
    <col min="1" max="1" width="15.6640625" customWidth="1"/>
    <col min="2" max="2" width="19.1640625" customWidth="1"/>
    <col min="3" max="3" width="14.1640625" customWidth="1"/>
    <col min="4" max="4" width="19.5" customWidth="1"/>
  </cols>
  <sheetData>
    <row r="1" spans="1:4" ht="30" customHeight="1" x14ac:dyDescent="0.15">
      <c r="A1" s="1" t="s">
        <v>42</v>
      </c>
      <c r="B1" s="1" t="s">
        <v>43</v>
      </c>
      <c r="C1" s="1" t="s">
        <v>44</v>
      </c>
      <c r="D1" s="8" t="s">
        <v>45</v>
      </c>
    </row>
    <row r="2" spans="1:4" ht="30" customHeight="1" x14ac:dyDescent="0.15">
      <c r="A2" s="2" t="s">
        <v>46</v>
      </c>
      <c r="B2" s="6">
        <v>165565500</v>
      </c>
      <c r="C2" s="6">
        <v>57694327</v>
      </c>
      <c r="D2" s="9">
        <f>ตาราง5[Revenue Q2]/ตาราง5[Budgeted Revenue]</f>
        <v>0.3484682920052789</v>
      </c>
    </row>
  </sheetData>
  <dataValidations count="1">
    <dataValidation type="custom" allowBlank="1" showDropDown="1" sqref="D2" xr:uid="{00000000-0002-0000-0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/>
  </sheetViews>
  <sheetFormatPr baseColWidth="10" defaultColWidth="12.6640625" defaultRowHeight="13" x14ac:dyDescent="0.15"/>
  <cols>
    <col min="1" max="1" width="42.6640625" customWidth="1"/>
    <col min="2" max="2" width="20.1640625" customWidth="1"/>
    <col min="3" max="3" width="15.1640625" customWidth="1"/>
    <col min="4" max="4" width="19.5" customWidth="1"/>
  </cols>
  <sheetData>
    <row r="1" spans="1:4" ht="30" customHeight="1" x14ac:dyDescent="0.15">
      <c r="A1" s="11" t="s">
        <v>21</v>
      </c>
      <c r="B1" s="11" t="s">
        <v>47</v>
      </c>
      <c r="C1" s="11" t="s">
        <v>48</v>
      </c>
      <c r="D1" s="12" t="s">
        <v>45</v>
      </c>
    </row>
    <row r="2" spans="1:4" ht="30" customHeight="1" x14ac:dyDescent="0.15">
      <c r="A2" s="1" t="s">
        <v>22</v>
      </c>
      <c r="B2" s="6">
        <v>29638800</v>
      </c>
      <c r="C2" s="6">
        <v>14354999</v>
      </c>
      <c r="D2" s="10">
        <f t="shared" ref="D2:D7" si="0">C2/B2</f>
        <v>0.48433131570778842</v>
      </c>
    </row>
    <row r="3" spans="1:4" ht="30" customHeight="1" x14ac:dyDescent="0.15">
      <c r="A3" s="2" t="s">
        <v>24</v>
      </c>
      <c r="B3" s="6">
        <v>110400000</v>
      </c>
      <c r="C3" s="6">
        <v>31034819</v>
      </c>
      <c r="D3" s="10">
        <f t="shared" si="0"/>
        <v>0.281112490942029</v>
      </c>
    </row>
    <row r="4" spans="1:4" ht="30" customHeight="1" x14ac:dyDescent="0.15">
      <c r="A4" s="2" t="s">
        <v>26</v>
      </c>
      <c r="B4" s="6">
        <v>3200000</v>
      </c>
      <c r="C4" s="6">
        <v>1511583</v>
      </c>
      <c r="D4" s="10">
        <f t="shared" si="0"/>
        <v>0.47236968750000002</v>
      </c>
    </row>
    <row r="5" spans="1:4" ht="30" customHeight="1" x14ac:dyDescent="0.15">
      <c r="A5" s="2" t="s">
        <v>28</v>
      </c>
      <c r="B5" s="6">
        <v>2100000</v>
      </c>
      <c r="C5" s="6">
        <v>1002935</v>
      </c>
      <c r="D5" s="10">
        <f t="shared" si="0"/>
        <v>0.47758809523809526</v>
      </c>
    </row>
    <row r="6" spans="1:4" ht="30" customHeight="1" x14ac:dyDescent="0.15">
      <c r="A6" s="2" t="s">
        <v>30</v>
      </c>
      <c r="B6" s="6">
        <v>1426100</v>
      </c>
      <c r="C6" s="6">
        <v>396333</v>
      </c>
      <c r="D6" s="10">
        <f t="shared" si="0"/>
        <v>0.27791389103148445</v>
      </c>
    </row>
    <row r="7" spans="1:4" ht="30" customHeight="1" x14ac:dyDescent="0.15">
      <c r="A7" s="2" t="s">
        <v>32</v>
      </c>
      <c r="B7" s="6">
        <v>6366600</v>
      </c>
      <c r="C7" s="6">
        <v>2740822</v>
      </c>
      <c r="D7" s="10">
        <f t="shared" si="0"/>
        <v>0.43050010994879528</v>
      </c>
    </row>
    <row r="8" spans="1:4" ht="30" customHeight="1" x14ac:dyDescent="0.15">
      <c r="A8" s="2" t="s">
        <v>34</v>
      </c>
      <c r="B8" s="4">
        <v>0</v>
      </c>
      <c r="C8" s="4">
        <v>0</v>
      </c>
      <c r="D8" s="10">
        <v>0</v>
      </c>
    </row>
    <row r="9" spans="1:4" ht="30" customHeight="1" x14ac:dyDescent="0.15">
      <c r="A9" s="2" t="s">
        <v>35</v>
      </c>
      <c r="B9" s="6">
        <v>7163800</v>
      </c>
      <c r="C9" s="6">
        <v>4155836</v>
      </c>
      <c r="D9" s="10">
        <f t="shared" ref="D9:D12" si="1">C9/B9</f>
        <v>0.58011613947904739</v>
      </c>
    </row>
    <row r="10" spans="1:4" ht="30" customHeight="1" x14ac:dyDescent="0.15">
      <c r="A10" s="2" t="s">
        <v>37</v>
      </c>
      <c r="B10" s="6">
        <v>500000</v>
      </c>
      <c r="C10" s="6">
        <v>189641</v>
      </c>
      <c r="D10" s="10">
        <f t="shared" si="1"/>
        <v>0.37928200000000001</v>
      </c>
    </row>
    <row r="11" spans="1:4" ht="30" customHeight="1" x14ac:dyDescent="0.15">
      <c r="A11" s="2" t="s">
        <v>39</v>
      </c>
      <c r="B11" s="6">
        <v>4000000</v>
      </c>
      <c r="C11" s="6">
        <v>2307358</v>
      </c>
      <c r="D11" s="10">
        <f t="shared" si="1"/>
        <v>0.57683949999999995</v>
      </c>
    </row>
    <row r="12" spans="1:4" ht="30" customHeight="1" x14ac:dyDescent="0.15">
      <c r="A12" s="2" t="s">
        <v>41</v>
      </c>
      <c r="B12" s="6">
        <v>500000</v>
      </c>
      <c r="C12" s="4">
        <v>0</v>
      </c>
      <c r="D12" s="10">
        <f t="shared" si="1"/>
        <v>0</v>
      </c>
    </row>
  </sheetData>
  <dataValidations count="1">
    <dataValidation type="custom" allowBlank="1" showDropDown="1" sqref="D2:D12" xr:uid="{00000000-0002-0000-0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baseColWidth="10" defaultColWidth="12.6640625" defaultRowHeight="13" x14ac:dyDescent="0.15"/>
  <cols>
    <col min="1" max="1" width="15.6640625" customWidth="1"/>
    <col min="2" max="2" width="20.1640625" customWidth="1"/>
    <col min="3" max="3" width="15.1640625" customWidth="1"/>
    <col min="4" max="4" width="19.5" customWidth="1"/>
  </cols>
  <sheetData>
    <row r="1" spans="1:4" ht="30" customHeight="1" x14ac:dyDescent="0.15">
      <c r="A1" s="1" t="s">
        <v>42</v>
      </c>
      <c r="B1" s="1" t="s">
        <v>47</v>
      </c>
      <c r="C1" s="1" t="s">
        <v>48</v>
      </c>
      <c r="D1" s="8" t="s">
        <v>45</v>
      </c>
    </row>
    <row r="2" spans="1:4" ht="30" customHeight="1" x14ac:dyDescent="0.15">
      <c r="A2" s="2" t="s">
        <v>46</v>
      </c>
      <c r="B2" s="6">
        <v>207098179</v>
      </c>
      <c r="C2" s="6">
        <v>89248624</v>
      </c>
      <c r="D2" s="9">
        <f>ตาราง7[Expenses Q2]/ตาราง7[[Budgeted Expenses ]]</f>
        <v>0.4309483764219868</v>
      </c>
    </row>
  </sheetData>
  <dataValidations count="1">
    <dataValidation type="custom" allowBlank="1" showDropDown="1" sqref="D2" xr:uid="{00000000-0002-0000-0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baseColWidth="10" defaultColWidth="12.6640625" defaultRowHeight="13" x14ac:dyDescent="0.15"/>
  <cols>
    <col min="1" max="1" width="15.6640625" customWidth="1"/>
    <col min="2" max="2" width="20.1640625" customWidth="1"/>
    <col min="3" max="3" width="15.1640625" customWidth="1"/>
    <col min="4" max="4" width="19.5" customWidth="1"/>
  </cols>
  <sheetData>
    <row r="1" spans="1:4" ht="30" customHeight="1" x14ac:dyDescent="0.15">
      <c r="A1" s="1" t="s">
        <v>42</v>
      </c>
      <c r="B1" s="1" t="s">
        <v>47</v>
      </c>
      <c r="C1" s="1" t="s">
        <v>48</v>
      </c>
      <c r="D1" s="8" t="s">
        <v>45</v>
      </c>
    </row>
    <row r="2" spans="1:4" ht="30" customHeight="1" x14ac:dyDescent="0.15">
      <c r="A2" s="2" t="s">
        <v>49</v>
      </c>
      <c r="B2" s="6">
        <v>119046379</v>
      </c>
      <c r="C2" s="6">
        <v>60616531</v>
      </c>
      <c r="D2" s="9">
        <f>ตาราง8[[#This Row],[Expenses Q2]]/ตาราง8[[#This Row],[Budgeted Expenses ]]</f>
        <v>0.50918416426592861</v>
      </c>
    </row>
    <row r="3" spans="1:4" ht="30" customHeight="1" x14ac:dyDescent="0.15">
      <c r="A3" s="2" t="s">
        <v>50</v>
      </c>
      <c r="B3" s="6">
        <v>88051800</v>
      </c>
      <c r="C3" s="6">
        <v>28632093</v>
      </c>
      <c r="D3" s="9">
        <f>ตาราง8[[#This Row],[Expenses Q2]]/ตาราง8[[#This Row],[Budgeted Expenses ]]</f>
        <v>0.32517328436215953</v>
      </c>
    </row>
  </sheetData>
  <dataValidations count="1">
    <dataValidation type="custom" allowBlank="1" showDropDown="1" sqref="D2:D3" xr:uid="{00000000-0002-0000-0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showGridLines="0" workbookViewId="0">
      <selection activeCell="H3" sqref="H3"/>
    </sheetView>
  </sheetViews>
  <sheetFormatPr baseColWidth="10" defaultColWidth="8.83203125" defaultRowHeight="13" x14ac:dyDescent="0.15"/>
  <cols>
    <col min="1" max="4" width="16" customWidth="1"/>
    <col min="5" max="8" width="25" customWidth="1"/>
  </cols>
  <sheetData>
    <row r="1" spans="1:8" ht="19.25" customHeight="1" x14ac:dyDescent="0.15">
      <c r="A1" s="78" t="s">
        <v>79</v>
      </c>
      <c r="B1" s="78" t="s">
        <v>79</v>
      </c>
      <c r="C1" s="78" t="s">
        <v>79</v>
      </c>
      <c r="D1" s="78" t="s">
        <v>79</v>
      </c>
      <c r="E1" s="78" t="s">
        <v>79</v>
      </c>
      <c r="F1" s="78" t="s">
        <v>79</v>
      </c>
      <c r="G1" s="78" t="s">
        <v>79</v>
      </c>
      <c r="H1" s="78" t="s">
        <v>79</v>
      </c>
    </row>
    <row r="2" spans="1:8" ht="15" customHeight="1" x14ac:dyDescent="0.15">
      <c r="A2" s="13" t="s">
        <v>80</v>
      </c>
      <c r="B2" s="14" t="s">
        <v>81</v>
      </c>
      <c r="C2" s="14" t="s">
        <v>82</v>
      </c>
      <c r="D2" s="14" t="s">
        <v>83</v>
      </c>
      <c r="E2" s="14" t="s">
        <v>84</v>
      </c>
      <c r="F2" s="14" t="s">
        <v>85</v>
      </c>
      <c r="G2" s="14" t="s">
        <v>86</v>
      </c>
      <c r="H2" s="15" t="s">
        <v>87</v>
      </c>
    </row>
    <row r="3" spans="1:8" ht="15" customHeight="1" x14ac:dyDescent="0.15">
      <c r="A3" s="25" t="s">
        <v>88</v>
      </c>
      <c r="B3" s="26" t="s">
        <v>89</v>
      </c>
      <c r="C3" s="26">
        <v>3</v>
      </c>
      <c r="D3" s="26">
        <v>3</v>
      </c>
      <c r="E3" s="26" t="s">
        <v>90</v>
      </c>
      <c r="F3" s="26" t="s">
        <v>91</v>
      </c>
      <c r="G3" s="26" t="s">
        <v>92</v>
      </c>
      <c r="H3" s="27" t="s">
        <v>93</v>
      </c>
    </row>
    <row r="4" spans="1:8" ht="24" customHeight="1" x14ac:dyDescent="0.15">
      <c r="A4" s="28" t="s">
        <v>94</v>
      </c>
      <c r="B4" s="29" t="s">
        <v>95</v>
      </c>
      <c r="C4" s="29">
        <v>5</v>
      </c>
      <c r="D4" s="29">
        <v>6</v>
      </c>
      <c r="E4" s="29" t="s">
        <v>96</v>
      </c>
      <c r="F4" s="29" t="s">
        <v>97</v>
      </c>
      <c r="G4" s="29" t="s">
        <v>98</v>
      </c>
      <c r="H4" s="30" t="s">
        <v>99</v>
      </c>
    </row>
    <row r="5" spans="1:8" ht="24" customHeight="1" x14ac:dyDescent="0.15">
      <c r="A5" s="28" t="s">
        <v>100</v>
      </c>
      <c r="B5" s="29" t="s">
        <v>95</v>
      </c>
      <c r="C5" s="29">
        <v>5</v>
      </c>
      <c r="D5" s="29">
        <v>6</v>
      </c>
      <c r="E5" s="29" t="s">
        <v>101</v>
      </c>
      <c r="F5" s="29" t="s">
        <v>97</v>
      </c>
      <c r="G5" s="29" t="s">
        <v>102</v>
      </c>
      <c r="H5" s="30" t="s">
        <v>103</v>
      </c>
    </row>
    <row r="6" spans="1:8" ht="24" customHeight="1" x14ac:dyDescent="0.15">
      <c r="A6" s="28" t="s">
        <v>104</v>
      </c>
      <c r="B6" s="29" t="s">
        <v>105</v>
      </c>
      <c r="C6" s="29">
        <v>12</v>
      </c>
      <c r="D6" s="29">
        <v>6</v>
      </c>
      <c r="E6" s="29" t="s">
        <v>106</v>
      </c>
      <c r="F6" s="29" t="s">
        <v>107</v>
      </c>
      <c r="G6" s="29" t="s">
        <v>108</v>
      </c>
      <c r="H6" s="30" t="s">
        <v>109</v>
      </c>
    </row>
    <row r="7" spans="1:8" ht="24" customHeight="1" x14ac:dyDescent="0.15">
      <c r="A7" s="28" t="s">
        <v>110</v>
      </c>
      <c r="B7" s="29" t="s">
        <v>111</v>
      </c>
      <c r="C7" s="29">
        <v>2</v>
      </c>
      <c r="D7" s="29">
        <v>4</v>
      </c>
      <c r="E7" s="29" t="s">
        <v>112</v>
      </c>
      <c r="F7" s="29" t="s">
        <v>6</v>
      </c>
      <c r="G7" s="29" t="s">
        <v>113</v>
      </c>
      <c r="H7" s="30" t="s">
        <v>114</v>
      </c>
    </row>
    <row r="8" spans="1:8" ht="24" customHeight="1" x14ac:dyDescent="0.15">
      <c r="A8" s="28" t="s">
        <v>115</v>
      </c>
      <c r="B8" s="29" t="s">
        <v>116</v>
      </c>
      <c r="C8" s="29">
        <v>12</v>
      </c>
      <c r="D8" s="29">
        <v>4</v>
      </c>
      <c r="E8" s="29" t="s">
        <v>117</v>
      </c>
      <c r="F8" s="29" t="s">
        <v>6</v>
      </c>
      <c r="G8" s="29" t="s">
        <v>118</v>
      </c>
      <c r="H8" s="30" t="s">
        <v>119</v>
      </c>
    </row>
    <row r="9" spans="1:8" ht="36" customHeight="1" x14ac:dyDescent="0.15">
      <c r="A9" s="28" t="s">
        <v>120</v>
      </c>
      <c r="B9" s="29" t="s">
        <v>111</v>
      </c>
      <c r="C9" s="29">
        <v>2</v>
      </c>
      <c r="D9" s="29">
        <v>4</v>
      </c>
      <c r="E9" s="29" t="s">
        <v>121</v>
      </c>
      <c r="F9" s="29" t="s">
        <v>6</v>
      </c>
      <c r="G9" s="29" t="s">
        <v>122</v>
      </c>
      <c r="H9" s="30" t="s">
        <v>123</v>
      </c>
    </row>
    <row r="10" spans="1:8" ht="24" customHeight="1" x14ac:dyDescent="0.15">
      <c r="A10" s="28" t="s">
        <v>124</v>
      </c>
      <c r="B10" s="29" t="s">
        <v>116</v>
      </c>
      <c r="C10" s="29">
        <v>12</v>
      </c>
      <c r="D10" s="29">
        <v>4</v>
      </c>
      <c r="E10" s="29" t="s">
        <v>125</v>
      </c>
      <c r="F10" s="29" t="s">
        <v>6</v>
      </c>
      <c r="G10" s="29" t="s">
        <v>118</v>
      </c>
      <c r="H10" s="30" t="s">
        <v>126</v>
      </c>
    </row>
    <row r="11" spans="1:8" ht="24" customHeight="1" x14ac:dyDescent="0.15">
      <c r="A11" s="28" t="s">
        <v>127</v>
      </c>
      <c r="B11" s="29" t="s">
        <v>111</v>
      </c>
      <c r="C11" s="29">
        <v>2</v>
      </c>
      <c r="D11" s="29">
        <v>4</v>
      </c>
      <c r="E11" s="29" t="s">
        <v>128</v>
      </c>
      <c r="F11" s="29" t="s">
        <v>6</v>
      </c>
      <c r="G11" s="29" t="s">
        <v>113</v>
      </c>
      <c r="H11" s="30" t="s">
        <v>129</v>
      </c>
    </row>
    <row r="12" spans="1:8" ht="24" customHeight="1" x14ac:dyDescent="0.15">
      <c r="A12" s="31" t="s">
        <v>130</v>
      </c>
      <c r="B12" s="32" t="s">
        <v>131</v>
      </c>
      <c r="C12" s="32">
        <v>3</v>
      </c>
      <c r="D12" s="32">
        <v>4</v>
      </c>
      <c r="E12" s="32" t="s">
        <v>132</v>
      </c>
      <c r="F12" s="32" t="s">
        <v>6</v>
      </c>
      <c r="G12" s="32" t="s">
        <v>133</v>
      </c>
      <c r="H12" s="33" t="s">
        <v>134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7"/>
  <sheetViews>
    <sheetView showGridLines="0" workbookViewId="0">
      <selection activeCell="M3" sqref="M3"/>
    </sheetView>
  </sheetViews>
  <sheetFormatPr baseColWidth="10" defaultColWidth="8.83203125" defaultRowHeight="13" x14ac:dyDescent="0.15"/>
  <cols>
    <col min="1" max="4" width="16" customWidth="1"/>
    <col min="5" max="5" width="42" customWidth="1"/>
    <col min="6" max="12" width="20" customWidth="1"/>
  </cols>
  <sheetData>
    <row r="1" spans="1:12" ht="30" customHeight="1" x14ac:dyDescent="0.15">
      <c r="A1" s="78" t="s">
        <v>135</v>
      </c>
      <c r="B1" s="78" t="s">
        <v>135</v>
      </c>
      <c r="C1" s="78" t="s">
        <v>135</v>
      </c>
      <c r="D1" s="78" t="s">
        <v>135</v>
      </c>
      <c r="E1" s="78" t="s">
        <v>135</v>
      </c>
      <c r="F1" s="78" t="s">
        <v>135</v>
      </c>
      <c r="G1" s="78" t="s">
        <v>135</v>
      </c>
      <c r="H1" s="78" t="s">
        <v>135</v>
      </c>
      <c r="I1" s="78" t="s">
        <v>135</v>
      </c>
      <c r="J1" s="78" t="s">
        <v>135</v>
      </c>
      <c r="K1" s="78" t="s">
        <v>135</v>
      </c>
      <c r="L1" s="78" t="s">
        <v>135</v>
      </c>
    </row>
    <row r="2" spans="1:12" ht="26" customHeight="1" x14ac:dyDescent="0.15">
      <c r="A2" s="13" t="s">
        <v>136</v>
      </c>
      <c r="B2" s="14" t="s">
        <v>55</v>
      </c>
      <c r="C2" s="14" t="s">
        <v>137</v>
      </c>
      <c r="D2" s="14" t="s">
        <v>138</v>
      </c>
      <c r="E2" s="14" t="s">
        <v>56</v>
      </c>
      <c r="F2" s="14" t="s">
        <v>139</v>
      </c>
      <c r="G2" s="14" t="s">
        <v>140</v>
      </c>
      <c r="H2" s="14" t="s">
        <v>70</v>
      </c>
      <c r="I2" s="14" t="s">
        <v>141</v>
      </c>
      <c r="J2" s="14" t="s">
        <v>142</v>
      </c>
      <c r="K2" s="14" t="s">
        <v>143</v>
      </c>
      <c r="L2" s="15" t="s">
        <v>144</v>
      </c>
    </row>
    <row r="3" spans="1:12" x14ac:dyDescent="0.15">
      <c r="A3" s="16">
        <v>69</v>
      </c>
      <c r="B3" s="17" t="s">
        <v>145</v>
      </c>
      <c r="C3" s="17"/>
      <c r="D3" s="17">
        <v>0</v>
      </c>
      <c r="E3" s="17" t="s">
        <v>146</v>
      </c>
      <c r="F3" s="17" t="s">
        <v>147</v>
      </c>
      <c r="G3" s="17" t="s">
        <v>46</v>
      </c>
      <c r="H3" s="17" t="s">
        <v>148</v>
      </c>
      <c r="I3" s="37">
        <v>0</v>
      </c>
      <c r="J3" s="37">
        <v>0</v>
      </c>
      <c r="K3" s="37">
        <f>รายรับรายจ่ายกำไร!B2</f>
        <v>73281544</v>
      </c>
      <c r="L3" s="18" t="s">
        <v>100</v>
      </c>
    </row>
    <row r="4" spans="1:12" x14ac:dyDescent="0.15">
      <c r="A4" s="19">
        <v>69</v>
      </c>
      <c r="B4" s="20" t="s">
        <v>145</v>
      </c>
      <c r="C4" s="20"/>
      <c r="D4" s="20">
        <v>0</v>
      </c>
      <c r="E4" s="20" t="s">
        <v>146</v>
      </c>
      <c r="F4" s="20" t="s">
        <v>147</v>
      </c>
      <c r="G4" s="20" t="s">
        <v>46</v>
      </c>
      <c r="H4" s="20" t="s">
        <v>149</v>
      </c>
      <c r="I4" s="38">
        <v>0</v>
      </c>
      <c r="J4" s="38">
        <v>0</v>
      </c>
      <c r="K4" s="38">
        <f>รายรับรายจ่ายกำไร!C2</f>
        <v>57694327</v>
      </c>
      <c r="L4" s="21" t="s">
        <v>100</v>
      </c>
    </row>
    <row r="5" spans="1:12" x14ac:dyDescent="0.15">
      <c r="A5" s="19">
        <v>69</v>
      </c>
      <c r="B5" s="20" t="s">
        <v>145</v>
      </c>
      <c r="C5" s="20"/>
      <c r="D5" s="20">
        <v>0</v>
      </c>
      <c r="E5" s="20" t="s">
        <v>146</v>
      </c>
      <c r="F5" s="20" t="s">
        <v>147</v>
      </c>
      <c r="G5" s="20" t="s">
        <v>46</v>
      </c>
      <c r="H5" s="20" t="s">
        <v>63</v>
      </c>
      <c r="I5" s="38">
        <v>0</v>
      </c>
      <c r="J5" s="38">
        <v>0</v>
      </c>
      <c r="K5" s="38">
        <f>รายรับรายจ่ายกำไร!D2</f>
        <v>15587217</v>
      </c>
      <c r="L5" s="21" t="s">
        <v>100</v>
      </c>
    </row>
    <row r="6" spans="1:12" x14ac:dyDescent="0.15">
      <c r="A6" s="19">
        <v>69</v>
      </c>
      <c r="B6" s="20" t="s">
        <v>145</v>
      </c>
      <c r="C6" s="20"/>
      <c r="D6" s="20">
        <v>0</v>
      </c>
      <c r="E6" s="20" t="s">
        <v>146</v>
      </c>
      <c r="F6" s="20" t="s">
        <v>150</v>
      </c>
      <c r="G6" s="20" t="s">
        <v>60</v>
      </c>
      <c r="H6" s="20" t="s">
        <v>76</v>
      </c>
      <c r="I6" s="38">
        <v>0</v>
      </c>
      <c r="J6" s="38">
        <v>0</v>
      </c>
      <c r="K6" s="38">
        <f>งบดุล!F2</f>
        <v>0.35268405462033092</v>
      </c>
      <c r="L6" s="21" t="s">
        <v>94</v>
      </c>
    </row>
    <row r="7" spans="1:12" x14ac:dyDescent="0.15">
      <c r="A7" s="19">
        <v>69</v>
      </c>
      <c r="B7" s="20" t="s">
        <v>151</v>
      </c>
      <c r="C7" s="20"/>
      <c r="D7" s="20">
        <v>0</v>
      </c>
      <c r="E7" s="20" t="s">
        <v>146</v>
      </c>
      <c r="F7" s="20" t="s">
        <v>147</v>
      </c>
      <c r="G7" s="20" t="s">
        <v>46</v>
      </c>
      <c r="H7" s="20" t="s">
        <v>148</v>
      </c>
      <c r="I7" s="38">
        <v>0</v>
      </c>
      <c r="J7" s="38">
        <v>0</v>
      </c>
      <c r="K7" s="38">
        <f>รายรับรายจ่ายกำไร!B3</f>
        <v>46683658</v>
      </c>
      <c r="L7" s="21" t="s">
        <v>100</v>
      </c>
    </row>
    <row r="8" spans="1:12" x14ac:dyDescent="0.15">
      <c r="A8" s="19">
        <v>69</v>
      </c>
      <c r="B8" s="20" t="s">
        <v>151</v>
      </c>
      <c r="C8" s="20"/>
      <c r="D8" s="20">
        <v>0</v>
      </c>
      <c r="E8" s="20" t="s">
        <v>146</v>
      </c>
      <c r="F8" s="20" t="s">
        <v>147</v>
      </c>
      <c r="G8" s="20" t="s">
        <v>46</v>
      </c>
      <c r="H8" s="20" t="s">
        <v>149</v>
      </c>
      <c r="I8" s="38">
        <v>0</v>
      </c>
      <c r="J8" s="38">
        <v>0</v>
      </c>
      <c r="K8" s="38">
        <f>รายรับรายจ่ายกำไร!C3</f>
        <v>51712260</v>
      </c>
      <c r="L8" s="21" t="s">
        <v>100</v>
      </c>
    </row>
    <row r="9" spans="1:12" x14ac:dyDescent="0.15">
      <c r="A9" s="19">
        <v>69</v>
      </c>
      <c r="B9" s="20" t="s">
        <v>151</v>
      </c>
      <c r="C9" s="20"/>
      <c r="D9" s="20">
        <v>0</v>
      </c>
      <c r="E9" s="20" t="s">
        <v>146</v>
      </c>
      <c r="F9" s="20" t="s">
        <v>147</v>
      </c>
      <c r="G9" s="20" t="s">
        <v>46</v>
      </c>
      <c r="H9" s="20" t="s">
        <v>63</v>
      </c>
      <c r="I9" s="38">
        <v>0</v>
      </c>
      <c r="J9" s="38">
        <v>0</v>
      </c>
      <c r="K9" s="38">
        <f>รายรับรายจ่ายกำไร!D3</f>
        <v>-5028602</v>
      </c>
      <c r="L9" s="21" t="s">
        <v>100</v>
      </c>
    </row>
    <row r="10" spans="1:12" x14ac:dyDescent="0.15">
      <c r="A10" s="19">
        <v>69</v>
      </c>
      <c r="B10" s="20" t="s">
        <v>151</v>
      </c>
      <c r="C10" s="20"/>
      <c r="D10" s="20">
        <v>0</v>
      </c>
      <c r="E10" s="20" t="s">
        <v>146</v>
      </c>
      <c r="F10" s="20" t="s">
        <v>150</v>
      </c>
      <c r="G10" s="20" t="s">
        <v>60</v>
      </c>
      <c r="H10" s="20" t="s">
        <v>76</v>
      </c>
      <c r="I10" s="38">
        <v>0</v>
      </c>
      <c r="J10" s="38">
        <v>0</v>
      </c>
      <c r="K10" s="38">
        <f>งบดุล!F3</f>
        <v>0.42357773988528913</v>
      </c>
      <c r="L10" s="21" t="s">
        <v>94</v>
      </c>
    </row>
    <row r="11" spans="1:12" x14ac:dyDescent="0.15">
      <c r="A11" s="19">
        <v>68</v>
      </c>
      <c r="B11" s="20" t="s">
        <v>152</v>
      </c>
      <c r="C11" s="20"/>
      <c r="D11" s="20">
        <v>0</v>
      </c>
      <c r="E11" s="20" t="s">
        <v>146</v>
      </c>
      <c r="F11" s="20" t="s">
        <v>147</v>
      </c>
      <c r="G11" s="20" t="s">
        <v>46</v>
      </c>
      <c r="H11" s="20" t="s">
        <v>148</v>
      </c>
      <c r="I11" s="38">
        <v>0</v>
      </c>
      <c r="J11" s="38">
        <v>0</v>
      </c>
      <c r="K11" s="38">
        <f>รายรับรายจ่ายกำไร!B4</f>
        <v>131408229</v>
      </c>
      <c r="L11" s="21" t="s">
        <v>100</v>
      </c>
    </row>
    <row r="12" spans="1:12" x14ac:dyDescent="0.15">
      <c r="A12" s="19">
        <v>68</v>
      </c>
      <c r="B12" s="20" t="s">
        <v>152</v>
      </c>
      <c r="C12" s="20"/>
      <c r="D12" s="20">
        <v>0</v>
      </c>
      <c r="E12" s="20" t="s">
        <v>146</v>
      </c>
      <c r="F12" s="20" t="s">
        <v>147</v>
      </c>
      <c r="G12" s="20" t="s">
        <v>46</v>
      </c>
      <c r="H12" s="20" t="s">
        <v>149</v>
      </c>
      <c r="I12" s="38">
        <v>0</v>
      </c>
      <c r="J12" s="38">
        <v>0</v>
      </c>
      <c r="K12" s="38">
        <f>รายรับรายจ่ายกำไร!C4</f>
        <v>127865373</v>
      </c>
      <c r="L12" s="21" t="s">
        <v>100</v>
      </c>
    </row>
    <row r="13" spans="1:12" x14ac:dyDescent="0.15">
      <c r="A13" s="19">
        <v>68</v>
      </c>
      <c r="B13" s="20" t="s">
        <v>152</v>
      </c>
      <c r="C13" s="20"/>
      <c r="D13" s="20">
        <v>0</v>
      </c>
      <c r="E13" s="20" t="s">
        <v>146</v>
      </c>
      <c r="F13" s="20" t="s">
        <v>147</v>
      </c>
      <c r="G13" s="20" t="s">
        <v>46</v>
      </c>
      <c r="H13" s="20" t="s">
        <v>63</v>
      </c>
      <c r="I13" s="38">
        <v>0</v>
      </c>
      <c r="J13" s="38">
        <v>0</v>
      </c>
      <c r="K13" s="38">
        <f>รายรับรายจ่ายกำไร!D4</f>
        <v>3542856</v>
      </c>
      <c r="L13" s="21" t="s">
        <v>100</v>
      </c>
    </row>
    <row r="14" spans="1:12" x14ac:dyDescent="0.15">
      <c r="A14" s="19">
        <v>68</v>
      </c>
      <c r="B14" s="20" t="s">
        <v>152</v>
      </c>
      <c r="C14" s="20"/>
      <c r="D14" s="20">
        <v>0</v>
      </c>
      <c r="E14" s="20" t="s">
        <v>146</v>
      </c>
      <c r="F14" s="20" t="s">
        <v>150</v>
      </c>
      <c r="G14" s="20" t="s">
        <v>60</v>
      </c>
      <c r="H14" s="20" t="s">
        <v>76</v>
      </c>
      <c r="I14" s="38">
        <v>0</v>
      </c>
      <c r="J14" s="38">
        <v>0</v>
      </c>
      <c r="K14" s="38">
        <f>งบดุล!F4</f>
        <v>0.49776918500892325</v>
      </c>
      <c r="L14" s="21" t="s">
        <v>94</v>
      </c>
    </row>
    <row r="15" spans="1:12" x14ac:dyDescent="0.15">
      <c r="A15" s="19">
        <v>68</v>
      </c>
      <c r="B15" s="20" t="s">
        <v>153</v>
      </c>
      <c r="C15" s="20"/>
      <c r="D15" s="20">
        <v>0</v>
      </c>
      <c r="E15" s="20" t="s">
        <v>146</v>
      </c>
      <c r="F15" s="20" t="s">
        <v>147</v>
      </c>
      <c r="G15" s="20" t="s">
        <v>46</v>
      </c>
      <c r="H15" s="20" t="s">
        <v>148</v>
      </c>
      <c r="I15" s="38">
        <v>0</v>
      </c>
      <c r="J15" s="38">
        <v>0</v>
      </c>
      <c r="K15" s="38">
        <f>รายรับรายจ่ายกำไร!B5</f>
        <v>90260853</v>
      </c>
      <c r="L15" s="21" t="s">
        <v>100</v>
      </c>
    </row>
    <row r="16" spans="1:12" x14ac:dyDescent="0.15">
      <c r="A16" s="19">
        <v>68</v>
      </c>
      <c r="B16" s="20" t="s">
        <v>153</v>
      </c>
      <c r="C16" s="20"/>
      <c r="D16" s="20">
        <v>0</v>
      </c>
      <c r="E16" s="20" t="s">
        <v>146</v>
      </c>
      <c r="F16" s="20" t="s">
        <v>147</v>
      </c>
      <c r="G16" s="20" t="s">
        <v>46</v>
      </c>
      <c r="H16" s="20" t="s">
        <v>149</v>
      </c>
      <c r="I16" s="38">
        <v>0</v>
      </c>
      <c r="J16" s="38">
        <v>0</v>
      </c>
      <c r="K16" s="38">
        <f>รายรับรายจ่ายกำไร!C5</f>
        <v>84229576</v>
      </c>
      <c r="L16" s="21" t="s">
        <v>100</v>
      </c>
    </row>
    <row r="17" spans="1:12" x14ac:dyDescent="0.15">
      <c r="A17" s="19">
        <v>68</v>
      </c>
      <c r="B17" s="20" t="s">
        <v>153</v>
      </c>
      <c r="C17" s="20"/>
      <c r="D17" s="20">
        <v>0</v>
      </c>
      <c r="E17" s="20" t="s">
        <v>146</v>
      </c>
      <c r="F17" s="20" t="s">
        <v>147</v>
      </c>
      <c r="G17" s="20" t="s">
        <v>46</v>
      </c>
      <c r="H17" s="20" t="s">
        <v>63</v>
      </c>
      <c r="I17" s="38">
        <v>0</v>
      </c>
      <c r="J17" s="38">
        <v>0</v>
      </c>
      <c r="K17" s="38">
        <f>รายรับรายจ่ายกำไร!D5</f>
        <v>6031277</v>
      </c>
      <c r="L17" s="21" t="s">
        <v>100</v>
      </c>
    </row>
    <row r="18" spans="1:12" x14ac:dyDescent="0.15">
      <c r="A18" s="19">
        <v>68</v>
      </c>
      <c r="B18" s="20" t="s">
        <v>153</v>
      </c>
      <c r="C18" s="20"/>
      <c r="D18" s="20">
        <v>0</v>
      </c>
      <c r="E18" s="20" t="s">
        <v>146</v>
      </c>
      <c r="F18" s="20" t="s">
        <v>150</v>
      </c>
      <c r="G18" s="20" t="s">
        <v>60</v>
      </c>
      <c r="H18" s="20" t="s">
        <v>76</v>
      </c>
      <c r="I18" s="38">
        <v>0</v>
      </c>
      <c r="J18" s="38">
        <v>0</v>
      </c>
      <c r="K18" s="38">
        <f>งบดุล!F5</f>
        <v>0.35189737286833617</v>
      </c>
      <c r="L18" s="21" t="s">
        <v>94</v>
      </c>
    </row>
    <row r="19" spans="1:12" x14ac:dyDescent="0.15">
      <c r="A19" s="19">
        <v>69</v>
      </c>
      <c r="B19" s="20" t="s">
        <v>145</v>
      </c>
      <c r="C19" s="20"/>
      <c r="D19" s="20">
        <v>0</v>
      </c>
      <c r="E19" s="20" t="str">
        <f>รายรับรายจ่ายกำไร_ย่อย!A2</f>
        <v>สำนักงาน คณะสัตวแพทยศาสตร์</v>
      </c>
      <c r="F19" s="20" t="s">
        <v>147</v>
      </c>
      <c r="G19" s="20" t="s">
        <v>56</v>
      </c>
      <c r="H19" s="20" t="s">
        <v>148</v>
      </c>
      <c r="I19" s="38">
        <v>0</v>
      </c>
      <c r="J19" s="38">
        <v>0</v>
      </c>
      <c r="K19" s="38">
        <f>รายรับรายจ่ายกำไร_ย่อย!B2</f>
        <v>18542474</v>
      </c>
      <c r="L19" s="21" t="s">
        <v>104</v>
      </c>
    </row>
    <row r="20" spans="1:12" x14ac:dyDescent="0.15">
      <c r="A20" s="19">
        <v>69</v>
      </c>
      <c r="B20" s="20" t="s">
        <v>145</v>
      </c>
      <c r="C20" s="20"/>
      <c r="D20" s="20">
        <v>0</v>
      </c>
      <c r="E20" s="20" t="str">
        <f>รายรับรายจ่ายกำไร_ย่อย!A2</f>
        <v>สำนักงาน คณะสัตวแพทยศาสตร์</v>
      </c>
      <c r="F20" s="20" t="s">
        <v>147</v>
      </c>
      <c r="G20" s="20" t="s">
        <v>56</v>
      </c>
      <c r="H20" s="20" t="s">
        <v>149</v>
      </c>
      <c r="I20" s="38">
        <v>0</v>
      </c>
      <c r="J20" s="38">
        <v>0</v>
      </c>
      <c r="K20" s="38">
        <f>รายรับรายจ่ายกำไร_ย่อย!C2</f>
        <v>14354999</v>
      </c>
      <c r="L20" s="21" t="s">
        <v>104</v>
      </c>
    </row>
    <row r="21" spans="1:12" x14ac:dyDescent="0.15">
      <c r="A21" s="19">
        <v>69</v>
      </c>
      <c r="B21" s="20" t="s">
        <v>145</v>
      </c>
      <c r="C21" s="20"/>
      <c r="D21" s="20">
        <v>0</v>
      </c>
      <c r="E21" s="20" t="str">
        <f>รายรับรายจ่ายกำไร_ย่อย!A2</f>
        <v>สำนักงาน คณะสัตวแพทยศาสตร์</v>
      </c>
      <c r="F21" s="20" t="s">
        <v>147</v>
      </c>
      <c r="G21" s="20" t="s">
        <v>56</v>
      </c>
      <c r="H21" s="20" t="s">
        <v>63</v>
      </c>
      <c r="I21" s="38">
        <v>0</v>
      </c>
      <c r="J21" s="38">
        <v>0</v>
      </c>
      <c r="K21" s="38">
        <f>รายรับรายจ่ายกำไร_ย่อย!D2</f>
        <v>4187475</v>
      </c>
      <c r="L21" s="21" t="s">
        <v>104</v>
      </c>
    </row>
    <row r="22" spans="1:12" x14ac:dyDescent="0.15">
      <c r="A22" s="19">
        <v>69</v>
      </c>
      <c r="B22" s="20" t="s">
        <v>145</v>
      </c>
      <c r="C22" s="20"/>
      <c r="D22" s="20">
        <v>0</v>
      </c>
      <c r="E22" s="20" t="str">
        <f>ประมาณการรายรับกับรายรับจริง_แย!A2</f>
        <v>สำนักงาน คณะสัตวแพทยศาสตร์</v>
      </c>
      <c r="F22" s="20" t="s">
        <v>141</v>
      </c>
      <c r="G22" s="20" t="s">
        <v>148</v>
      </c>
      <c r="H22" s="20" t="s">
        <v>154</v>
      </c>
      <c r="I22" s="38">
        <v>0</v>
      </c>
      <c r="J22" s="38">
        <v>0</v>
      </c>
      <c r="K22" s="38">
        <f>ประมาณการรายรับกับรายรับจริง_แย!B2</f>
        <v>28518000</v>
      </c>
      <c r="L22" s="21" t="s">
        <v>115</v>
      </c>
    </row>
    <row r="23" spans="1:12" x14ac:dyDescent="0.15">
      <c r="A23" s="19">
        <v>69</v>
      </c>
      <c r="B23" s="20" t="s">
        <v>145</v>
      </c>
      <c r="C23" s="20"/>
      <c r="D23" s="20">
        <v>0</v>
      </c>
      <c r="E23" s="20" t="str">
        <f>ประมาณการรายรับกับรายรับจริง_แย!A2</f>
        <v>สำนักงาน คณะสัตวแพทยศาสตร์</v>
      </c>
      <c r="F23" s="20" t="s">
        <v>141</v>
      </c>
      <c r="G23" s="20" t="s">
        <v>148</v>
      </c>
      <c r="H23" s="20" t="s">
        <v>155</v>
      </c>
      <c r="I23" s="38">
        <v>0</v>
      </c>
      <c r="J23" s="38">
        <v>0</v>
      </c>
      <c r="K23" s="38">
        <f>ประมาณการรายรับกับรายรับจริง_แย!C2</f>
        <v>18542474</v>
      </c>
      <c r="L23" s="21" t="s">
        <v>115</v>
      </c>
    </row>
    <row r="24" spans="1:12" x14ac:dyDescent="0.15">
      <c r="A24" s="19">
        <v>69</v>
      </c>
      <c r="B24" s="20" t="s">
        <v>145</v>
      </c>
      <c r="C24" s="20"/>
      <c r="D24" s="20">
        <v>0</v>
      </c>
      <c r="E24" s="20" t="str">
        <f>ประมาณการรายจ่ายกับรายจ่ายจริงแ!A2</f>
        <v>สำนักงาน คณะสัตวแพทยศาสตร์</v>
      </c>
      <c r="F24" s="20" t="s">
        <v>141</v>
      </c>
      <c r="G24" s="20" t="s">
        <v>149</v>
      </c>
      <c r="H24" s="20" t="s">
        <v>156</v>
      </c>
      <c r="I24" s="38">
        <v>0</v>
      </c>
      <c r="J24" s="38">
        <v>0</v>
      </c>
      <c r="K24" s="38">
        <f>ประมาณการรายจ่ายกับรายจ่ายจริงแ!B2</f>
        <v>29638800</v>
      </c>
      <c r="L24" s="21" t="s">
        <v>124</v>
      </c>
    </row>
    <row r="25" spans="1:12" x14ac:dyDescent="0.15">
      <c r="A25" s="19">
        <v>69</v>
      </c>
      <c r="B25" s="20" t="s">
        <v>145</v>
      </c>
      <c r="C25" s="20"/>
      <c r="D25" s="20">
        <v>0</v>
      </c>
      <c r="E25" s="20" t="str">
        <f>ประมาณการรายจ่ายกับรายจ่ายจริงแ!A2</f>
        <v>สำนักงาน คณะสัตวแพทยศาสตร์</v>
      </c>
      <c r="F25" s="20" t="s">
        <v>141</v>
      </c>
      <c r="G25" s="20" t="s">
        <v>149</v>
      </c>
      <c r="H25" s="20" t="s">
        <v>157</v>
      </c>
      <c r="I25" s="38">
        <v>0</v>
      </c>
      <c r="J25" s="38">
        <v>0</v>
      </c>
      <c r="K25" s="38">
        <f>ประมาณการรายจ่ายกับรายจ่ายจริงแ!C2</f>
        <v>14354999</v>
      </c>
      <c r="L25" s="21" t="s">
        <v>124</v>
      </c>
    </row>
    <row r="26" spans="1:12" x14ac:dyDescent="0.15">
      <c r="A26" s="19">
        <v>69</v>
      </c>
      <c r="B26" s="20" t="s">
        <v>145</v>
      </c>
      <c r="C26" s="20"/>
      <c r="D26" s="20">
        <v>0</v>
      </c>
      <c r="E26" s="20" t="str">
        <f>รายรับรายจ่ายกำไร_ย่อย!A3</f>
        <v>ศูนย์การเรียนรู้และส่งเสริมสุขภาพสัตว์ภาคเหนือ(NOVEL)</v>
      </c>
      <c r="F26" s="20" t="s">
        <v>147</v>
      </c>
      <c r="G26" s="20" t="s">
        <v>56</v>
      </c>
      <c r="H26" s="20" t="s">
        <v>148</v>
      </c>
      <c r="I26" s="38">
        <v>0</v>
      </c>
      <c r="J26" s="38">
        <v>0</v>
      </c>
      <c r="K26" s="38">
        <f>รายรับรายจ่ายกำไร_ย่อย!B3</f>
        <v>39787921</v>
      </c>
      <c r="L26" s="21" t="s">
        <v>104</v>
      </c>
    </row>
    <row r="27" spans="1:12" x14ac:dyDescent="0.15">
      <c r="A27" s="19">
        <v>69</v>
      </c>
      <c r="B27" s="20" t="s">
        <v>145</v>
      </c>
      <c r="C27" s="20"/>
      <c r="D27" s="20">
        <v>0</v>
      </c>
      <c r="E27" s="20" t="str">
        <f>รายรับรายจ่ายกำไร_ย่อย!A3</f>
        <v>ศูนย์การเรียนรู้และส่งเสริมสุขภาพสัตว์ภาคเหนือ(NOVEL)</v>
      </c>
      <c r="F27" s="20" t="s">
        <v>147</v>
      </c>
      <c r="G27" s="20" t="s">
        <v>56</v>
      </c>
      <c r="H27" s="20" t="s">
        <v>149</v>
      </c>
      <c r="I27" s="38">
        <v>0</v>
      </c>
      <c r="J27" s="38">
        <v>0</v>
      </c>
      <c r="K27" s="38">
        <f>รายรับรายจ่ายกำไร_ย่อย!C3</f>
        <v>31034819</v>
      </c>
      <c r="L27" s="21" t="s">
        <v>104</v>
      </c>
    </row>
    <row r="28" spans="1:12" x14ac:dyDescent="0.15">
      <c r="A28" s="19">
        <v>69</v>
      </c>
      <c r="B28" s="20" t="s">
        <v>145</v>
      </c>
      <c r="C28" s="20"/>
      <c r="D28" s="20">
        <v>0</v>
      </c>
      <c r="E28" s="20" t="str">
        <f>รายรับรายจ่ายกำไร_ย่อย!A3</f>
        <v>ศูนย์การเรียนรู้และส่งเสริมสุขภาพสัตว์ภาคเหนือ(NOVEL)</v>
      </c>
      <c r="F28" s="20" t="s">
        <v>147</v>
      </c>
      <c r="G28" s="20" t="s">
        <v>56</v>
      </c>
      <c r="H28" s="20" t="s">
        <v>63</v>
      </c>
      <c r="I28" s="38">
        <v>0</v>
      </c>
      <c r="J28" s="38">
        <v>0</v>
      </c>
      <c r="K28" s="38">
        <f>รายรับรายจ่ายกำไร_ย่อย!D3</f>
        <v>8753102</v>
      </c>
      <c r="L28" s="21" t="s">
        <v>104</v>
      </c>
    </row>
    <row r="29" spans="1:12" x14ac:dyDescent="0.15">
      <c r="A29" s="19">
        <v>69</v>
      </c>
      <c r="B29" s="20" t="s">
        <v>145</v>
      </c>
      <c r="C29" s="20"/>
      <c r="D29" s="20">
        <v>0</v>
      </c>
      <c r="E29" s="20" t="str">
        <f>ประมาณการรายรับกับรายรับจริง_แย!A3</f>
        <v>ศูนย์การเรียนรู้และส่งเสริมสุขภาพสัตว์ภาคเหนือ(NOVEL)</v>
      </c>
      <c r="F29" s="20" t="s">
        <v>141</v>
      </c>
      <c r="G29" s="20" t="s">
        <v>148</v>
      </c>
      <c r="H29" s="20" t="s">
        <v>154</v>
      </c>
      <c r="I29" s="38">
        <v>0</v>
      </c>
      <c r="J29" s="38">
        <v>0</v>
      </c>
      <c r="K29" s="38">
        <f>ประมาณการรายรับกับรายรับจริง_แย!B3</f>
        <v>114900000</v>
      </c>
      <c r="L29" s="21" t="s">
        <v>115</v>
      </c>
    </row>
    <row r="30" spans="1:12" x14ac:dyDescent="0.15">
      <c r="A30" s="19">
        <v>69</v>
      </c>
      <c r="B30" s="20" t="s">
        <v>145</v>
      </c>
      <c r="C30" s="20"/>
      <c r="D30" s="20">
        <v>0</v>
      </c>
      <c r="E30" s="20" t="str">
        <f>ประมาณการรายรับกับรายรับจริง_แย!A3</f>
        <v>ศูนย์การเรียนรู้และส่งเสริมสุขภาพสัตว์ภาคเหนือ(NOVEL)</v>
      </c>
      <c r="F30" s="20" t="s">
        <v>141</v>
      </c>
      <c r="G30" s="20" t="s">
        <v>148</v>
      </c>
      <c r="H30" s="20" t="s">
        <v>155</v>
      </c>
      <c r="I30" s="38">
        <v>0</v>
      </c>
      <c r="J30" s="38">
        <v>0</v>
      </c>
      <c r="K30" s="38">
        <f>ประมาณการรายรับกับรายรับจริง_แย!C3</f>
        <v>39787921</v>
      </c>
      <c r="L30" s="21" t="s">
        <v>115</v>
      </c>
    </row>
    <row r="31" spans="1:12" x14ac:dyDescent="0.15">
      <c r="A31" s="19">
        <v>69</v>
      </c>
      <c r="B31" s="20" t="s">
        <v>145</v>
      </c>
      <c r="C31" s="20"/>
      <c r="D31" s="20">
        <v>0</v>
      </c>
      <c r="E31" s="20" t="str">
        <f>ประมาณการรายจ่ายกับรายจ่ายจริงแ!A3</f>
        <v>ศูนย์การเรียนรู้และส่งเสริมสุขภาพสัตว์ภาคเหนือ(NOVEL)</v>
      </c>
      <c r="F31" s="20" t="s">
        <v>141</v>
      </c>
      <c r="G31" s="20" t="s">
        <v>149</v>
      </c>
      <c r="H31" s="20" t="s">
        <v>156</v>
      </c>
      <c r="I31" s="38">
        <v>0</v>
      </c>
      <c r="J31" s="38">
        <v>0</v>
      </c>
      <c r="K31" s="38">
        <f>ประมาณการรายจ่ายกับรายจ่ายจริงแ!B3</f>
        <v>110400000</v>
      </c>
      <c r="L31" s="21" t="s">
        <v>124</v>
      </c>
    </row>
    <row r="32" spans="1:12" x14ac:dyDescent="0.15">
      <c r="A32" s="19">
        <v>69</v>
      </c>
      <c r="B32" s="20" t="s">
        <v>145</v>
      </c>
      <c r="C32" s="20"/>
      <c r="D32" s="20">
        <v>0</v>
      </c>
      <c r="E32" s="20" t="str">
        <f>ประมาณการรายจ่ายกับรายจ่ายจริงแ!A3</f>
        <v>ศูนย์การเรียนรู้และส่งเสริมสุขภาพสัตว์ภาคเหนือ(NOVEL)</v>
      </c>
      <c r="F32" s="20" t="s">
        <v>141</v>
      </c>
      <c r="G32" s="20" t="s">
        <v>149</v>
      </c>
      <c r="H32" s="20" t="s">
        <v>157</v>
      </c>
      <c r="I32" s="38">
        <v>0</v>
      </c>
      <c r="J32" s="38">
        <v>0</v>
      </c>
      <c r="K32" s="38">
        <f>ประมาณการรายจ่ายกับรายจ่ายจริงแ!C3</f>
        <v>31034819</v>
      </c>
      <c r="L32" s="21" t="s">
        <v>124</v>
      </c>
    </row>
    <row r="33" spans="1:12" x14ac:dyDescent="0.15">
      <c r="A33" s="19">
        <v>69</v>
      </c>
      <c r="B33" s="20" t="s">
        <v>145</v>
      </c>
      <c r="C33" s="20"/>
      <c r="D33" s="20">
        <v>0</v>
      </c>
      <c r="E33" s="20" t="str">
        <f>รายรับรายจ่ายกำไร_ย่อย!A4</f>
        <v>(โรงพยาบาลสัตว์แม่ออน)</v>
      </c>
      <c r="F33" s="20" t="s">
        <v>147</v>
      </c>
      <c r="G33" s="20" t="s">
        <v>56</v>
      </c>
      <c r="H33" s="20" t="s">
        <v>148</v>
      </c>
      <c r="I33" s="38">
        <v>0</v>
      </c>
      <c r="J33" s="38">
        <v>0</v>
      </c>
      <c r="K33" s="38">
        <f>รายรับรายจ่ายกำไร_ย่อย!B4</f>
        <v>1762983</v>
      </c>
      <c r="L33" s="21" t="s">
        <v>104</v>
      </c>
    </row>
    <row r="34" spans="1:12" x14ac:dyDescent="0.15">
      <c r="A34" s="19">
        <v>69</v>
      </c>
      <c r="B34" s="20" t="s">
        <v>145</v>
      </c>
      <c r="C34" s="20"/>
      <c r="D34" s="20">
        <v>0</v>
      </c>
      <c r="E34" s="20" t="str">
        <f>รายรับรายจ่ายกำไร_ย่อย!A4</f>
        <v>(โรงพยาบาลสัตว์แม่ออน)</v>
      </c>
      <c r="F34" s="20" t="s">
        <v>147</v>
      </c>
      <c r="G34" s="20" t="s">
        <v>56</v>
      </c>
      <c r="H34" s="20" t="s">
        <v>149</v>
      </c>
      <c r="I34" s="38">
        <v>0</v>
      </c>
      <c r="J34" s="38">
        <v>0</v>
      </c>
      <c r="K34" s="38">
        <f>รายรับรายจ่ายกำไร_ย่อย!C4</f>
        <v>1511583</v>
      </c>
      <c r="L34" s="21" t="s">
        <v>104</v>
      </c>
    </row>
    <row r="35" spans="1:12" x14ac:dyDescent="0.15">
      <c r="A35" s="19">
        <v>69</v>
      </c>
      <c r="B35" s="20" t="s">
        <v>145</v>
      </c>
      <c r="C35" s="20"/>
      <c r="D35" s="20">
        <v>0</v>
      </c>
      <c r="E35" s="20" t="str">
        <f>รายรับรายจ่ายกำไร_ย่อย!A4</f>
        <v>(โรงพยาบาลสัตว์แม่ออน)</v>
      </c>
      <c r="F35" s="20" t="s">
        <v>147</v>
      </c>
      <c r="G35" s="20" t="s">
        <v>56</v>
      </c>
      <c r="H35" s="20" t="s">
        <v>63</v>
      </c>
      <c r="I35" s="38">
        <v>0</v>
      </c>
      <c r="J35" s="38">
        <v>0</v>
      </c>
      <c r="K35" s="38">
        <f>รายรับรายจ่ายกำไร_ย่อย!D4</f>
        <v>251400</v>
      </c>
      <c r="L35" s="21" t="s">
        <v>104</v>
      </c>
    </row>
    <row r="36" spans="1:12" x14ac:dyDescent="0.15">
      <c r="A36" s="19">
        <v>69</v>
      </c>
      <c r="B36" s="20" t="s">
        <v>145</v>
      </c>
      <c r="C36" s="20"/>
      <c r="D36" s="20">
        <v>0</v>
      </c>
      <c r="E36" s="20" t="str">
        <f>ประมาณการรายรับกับรายรับจริง_แย!A4</f>
        <v>(โรงพยาบาลสัตว์แม่ออน)</v>
      </c>
      <c r="F36" s="20" t="s">
        <v>141</v>
      </c>
      <c r="G36" s="20" t="s">
        <v>148</v>
      </c>
      <c r="H36" s="20" t="s">
        <v>154</v>
      </c>
      <c r="I36" s="38">
        <v>0</v>
      </c>
      <c r="J36" s="38">
        <v>0</v>
      </c>
      <c r="K36" s="38">
        <f>ประมาณการรายรับกับรายรับจริง_แย!B4</f>
        <v>3449600</v>
      </c>
      <c r="L36" s="21" t="s">
        <v>115</v>
      </c>
    </row>
    <row r="37" spans="1:12" x14ac:dyDescent="0.15">
      <c r="A37" s="19">
        <v>69</v>
      </c>
      <c r="B37" s="20" t="s">
        <v>145</v>
      </c>
      <c r="C37" s="20"/>
      <c r="D37" s="20">
        <v>0</v>
      </c>
      <c r="E37" s="20" t="str">
        <f>ประมาณการรายรับกับรายรับจริง_แย!A4</f>
        <v>(โรงพยาบาลสัตว์แม่ออน)</v>
      </c>
      <c r="F37" s="20" t="s">
        <v>141</v>
      </c>
      <c r="G37" s="20" t="s">
        <v>148</v>
      </c>
      <c r="H37" s="20" t="s">
        <v>155</v>
      </c>
      <c r="I37" s="38">
        <v>0</v>
      </c>
      <c r="J37" s="38">
        <v>0</v>
      </c>
      <c r="K37" s="38">
        <f>ประมาณการรายรับกับรายรับจริง_แย!C4</f>
        <v>1762983</v>
      </c>
      <c r="L37" s="21" t="s">
        <v>115</v>
      </c>
    </row>
    <row r="38" spans="1:12" x14ac:dyDescent="0.15">
      <c r="A38" s="19">
        <v>69</v>
      </c>
      <c r="B38" s="20" t="s">
        <v>145</v>
      </c>
      <c r="C38" s="20"/>
      <c r="D38" s="20">
        <v>0</v>
      </c>
      <c r="E38" s="20" t="str">
        <f>ประมาณการรายจ่ายกับรายจ่ายจริงแ!A4</f>
        <v>(โรงพยาบาลสัตว์แม่ออน)</v>
      </c>
      <c r="F38" s="20" t="s">
        <v>141</v>
      </c>
      <c r="G38" s="20" t="s">
        <v>149</v>
      </c>
      <c r="H38" s="20" t="s">
        <v>156</v>
      </c>
      <c r="I38" s="38">
        <v>0</v>
      </c>
      <c r="J38" s="38">
        <v>0</v>
      </c>
      <c r="K38" s="38">
        <f>ประมาณการรายจ่ายกับรายจ่ายจริงแ!B4</f>
        <v>3200000</v>
      </c>
      <c r="L38" s="21" t="s">
        <v>124</v>
      </c>
    </row>
    <row r="39" spans="1:12" x14ac:dyDescent="0.15">
      <c r="A39" s="19">
        <v>69</v>
      </c>
      <c r="B39" s="20" t="s">
        <v>145</v>
      </c>
      <c r="C39" s="20"/>
      <c r="D39" s="20">
        <v>0</v>
      </c>
      <c r="E39" s="20" t="str">
        <f>ประมาณการรายจ่ายกับรายจ่ายจริงแ!A4</f>
        <v>(โรงพยาบาลสัตว์แม่ออน)</v>
      </c>
      <c r="F39" s="20" t="s">
        <v>141</v>
      </c>
      <c r="G39" s="20" t="s">
        <v>149</v>
      </c>
      <c r="H39" s="20" t="s">
        <v>157</v>
      </c>
      <c r="I39" s="38">
        <v>0</v>
      </c>
      <c r="J39" s="38">
        <v>0</v>
      </c>
      <c r="K39" s="38">
        <f>ประมาณการรายจ่ายกับรายจ่ายจริงแ!C4</f>
        <v>1511583</v>
      </c>
      <c r="L39" s="21" t="s">
        <v>124</v>
      </c>
    </row>
    <row r="40" spans="1:12" x14ac:dyDescent="0.15">
      <c r="A40" s="19">
        <v>69</v>
      </c>
      <c r="B40" s="20" t="s">
        <v>145</v>
      </c>
      <c r="C40" s="20"/>
      <c r="D40" s="20">
        <v>0</v>
      </c>
      <c r="E40" s="20" t="str">
        <f>รายรับรายจ่ายกำไร_ย่อย!A5</f>
        <v>โรงพยาบาลสัตว์ใหญ่และปศุสัตว์</v>
      </c>
      <c r="F40" s="20" t="s">
        <v>147</v>
      </c>
      <c r="G40" s="20" t="s">
        <v>56</v>
      </c>
      <c r="H40" s="20" t="s">
        <v>148</v>
      </c>
      <c r="I40" s="38">
        <v>0</v>
      </c>
      <c r="J40" s="38">
        <v>0</v>
      </c>
      <c r="K40" s="38">
        <f>รายรับรายจ่ายกำไร_ย่อย!B5</f>
        <v>1008535</v>
      </c>
      <c r="L40" s="21" t="s">
        <v>104</v>
      </c>
    </row>
    <row r="41" spans="1:12" x14ac:dyDescent="0.15">
      <c r="A41" s="19">
        <v>69</v>
      </c>
      <c r="B41" s="20" t="s">
        <v>145</v>
      </c>
      <c r="C41" s="20"/>
      <c r="D41" s="20">
        <v>0</v>
      </c>
      <c r="E41" s="20" t="str">
        <f>รายรับรายจ่ายกำไร_ย่อย!A5</f>
        <v>โรงพยาบาลสัตว์ใหญ่และปศุสัตว์</v>
      </c>
      <c r="F41" s="20" t="s">
        <v>147</v>
      </c>
      <c r="G41" s="20" t="s">
        <v>56</v>
      </c>
      <c r="H41" s="20" t="s">
        <v>149</v>
      </c>
      <c r="I41" s="38">
        <v>0</v>
      </c>
      <c r="J41" s="38">
        <v>0</v>
      </c>
      <c r="K41" s="38">
        <f>รายรับรายจ่ายกำไร_ย่อย!C5</f>
        <v>1002935</v>
      </c>
      <c r="L41" s="21" t="s">
        <v>104</v>
      </c>
    </row>
    <row r="42" spans="1:12" x14ac:dyDescent="0.15">
      <c r="A42" s="19">
        <v>69</v>
      </c>
      <c r="B42" s="20" t="s">
        <v>145</v>
      </c>
      <c r="C42" s="20"/>
      <c r="D42" s="20">
        <v>0</v>
      </c>
      <c r="E42" s="20" t="str">
        <f>รายรับรายจ่ายกำไร_ย่อย!A5</f>
        <v>โรงพยาบาลสัตว์ใหญ่และปศุสัตว์</v>
      </c>
      <c r="F42" s="20" t="s">
        <v>147</v>
      </c>
      <c r="G42" s="20" t="s">
        <v>56</v>
      </c>
      <c r="H42" s="20" t="s">
        <v>63</v>
      </c>
      <c r="I42" s="38">
        <v>0</v>
      </c>
      <c r="J42" s="38">
        <v>0</v>
      </c>
      <c r="K42" s="38">
        <f>รายรับรายจ่ายกำไร_ย่อย!D5</f>
        <v>5600</v>
      </c>
      <c r="L42" s="21" t="s">
        <v>104</v>
      </c>
    </row>
    <row r="43" spans="1:12" x14ac:dyDescent="0.15">
      <c r="A43" s="19">
        <v>69</v>
      </c>
      <c r="B43" s="20" t="s">
        <v>145</v>
      </c>
      <c r="C43" s="20"/>
      <c r="D43" s="20">
        <v>0</v>
      </c>
      <c r="E43" s="20" t="str">
        <f>ประมาณการรายรับกับรายรับจริง_แย!A5</f>
        <v>โรงพยาบาลสัตว์ใหญ่และปศุสัตว์</v>
      </c>
      <c r="F43" s="20" t="s">
        <v>141</v>
      </c>
      <c r="G43" s="20" t="s">
        <v>148</v>
      </c>
      <c r="H43" s="20" t="s">
        <v>154</v>
      </c>
      <c r="I43" s="38">
        <v>0</v>
      </c>
      <c r="J43" s="38">
        <v>0</v>
      </c>
      <c r="K43" s="38">
        <f>ประมาณการรายรับกับรายรับจริง_แย!B5</f>
        <v>2176700</v>
      </c>
      <c r="L43" s="21" t="s">
        <v>115</v>
      </c>
    </row>
    <row r="44" spans="1:12" x14ac:dyDescent="0.15">
      <c r="A44" s="19">
        <v>69</v>
      </c>
      <c r="B44" s="20" t="s">
        <v>145</v>
      </c>
      <c r="C44" s="20"/>
      <c r="D44" s="20">
        <v>0</v>
      </c>
      <c r="E44" s="20" t="str">
        <f>ประมาณการรายรับกับรายรับจริง_แย!A5</f>
        <v>โรงพยาบาลสัตว์ใหญ่และปศุสัตว์</v>
      </c>
      <c r="F44" s="20" t="s">
        <v>141</v>
      </c>
      <c r="G44" s="20" t="s">
        <v>148</v>
      </c>
      <c r="H44" s="20" t="s">
        <v>155</v>
      </c>
      <c r="I44" s="38">
        <v>0</v>
      </c>
      <c r="J44" s="38">
        <v>0</v>
      </c>
      <c r="K44" s="38">
        <f>ประมาณการรายรับกับรายรับจริง_แย!C5</f>
        <v>1008535</v>
      </c>
      <c r="L44" s="21" t="s">
        <v>115</v>
      </c>
    </row>
    <row r="45" spans="1:12" x14ac:dyDescent="0.15">
      <c r="A45" s="19">
        <v>69</v>
      </c>
      <c r="B45" s="20" t="s">
        <v>145</v>
      </c>
      <c r="C45" s="20"/>
      <c r="D45" s="20">
        <v>0</v>
      </c>
      <c r="E45" s="20" t="str">
        <f>ประมาณการรายจ่ายกับรายจ่ายจริงแ!A5</f>
        <v>โรงพยาบาลสัตว์ใหญ่และปศุสัตว์</v>
      </c>
      <c r="F45" s="20" t="s">
        <v>141</v>
      </c>
      <c r="G45" s="20" t="s">
        <v>149</v>
      </c>
      <c r="H45" s="20" t="s">
        <v>156</v>
      </c>
      <c r="I45" s="38">
        <v>0</v>
      </c>
      <c r="J45" s="38">
        <v>0</v>
      </c>
      <c r="K45" s="38">
        <f>ประมาณการรายจ่ายกับรายจ่ายจริงแ!B5</f>
        <v>2100000</v>
      </c>
      <c r="L45" s="21" t="s">
        <v>124</v>
      </c>
    </row>
    <row r="46" spans="1:12" x14ac:dyDescent="0.15">
      <c r="A46" s="19">
        <v>69</v>
      </c>
      <c r="B46" s="20" t="s">
        <v>145</v>
      </c>
      <c r="C46" s="20"/>
      <c r="D46" s="20">
        <v>0</v>
      </c>
      <c r="E46" s="20" t="str">
        <f>ประมาณการรายจ่ายกับรายจ่ายจริงแ!A5</f>
        <v>โรงพยาบาลสัตว์ใหญ่และปศุสัตว์</v>
      </c>
      <c r="F46" s="20" t="s">
        <v>141</v>
      </c>
      <c r="G46" s="20" t="s">
        <v>149</v>
      </c>
      <c r="H46" s="20" t="s">
        <v>157</v>
      </c>
      <c r="I46" s="38">
        <v>0</v>
      </c>
      <c r="J46" s="38">
        <v>0</v>
      </c>
      <c r="K46" s="38">
        <f>ประมาณการรายจ่ายกับรายจ่ายจริงแ!C5</f>
        <v>1002935</v>
      </c>
      <c r="L46" s="21" t="s">
        <v>124</v>
      </c>
    </row>
    <row r="47" spans="1:12" x14ac:dyDescent="0.15">
      <c r="A47" s="19">
        <v>69</v>
      </c>
      <c r="B47" s="20" t="s">
        <v>145</v>
      </c>
      <c r="C47" s="20"/>
      <c r="D47" s="20">
        <v>0</v>
      </c>
      <c r="E47" s="20" t="str">
        <f>รายรับรายจ่ายกำไร_ย่อย!A6</f>
        <v>ศูนย์สุขภาพช้างและสัตว์ป่า</v>
      </c>
      <c r="F47" s="20" t="s">
        <v>147</v>
      </c>
      <c r="G47" s="20" t="s">
        <v>56</v>
      </c>
      <c r="H47" s="20" t="s">
        <v>148</v>
      </c>
      <c r="I47" s="38">
        <v>0</v>
      </c>
      <c r="J47" s="38">
        <v>0</v>
      </c>
      <c r="K47" s="38">
        <f>รายรับรายจ่ายกำไร_ย่อย!B6</f>
        <v>1044605</v>
      </c>
      <c r="L47" s="21" t="s">
        <v>104</v>
      </c>
    </row>
    <row r="48" spans="1:12" x14ac:dyDescent="0.15">
      <c r="A48" s="19">
        <v>69</v>
      </c>
      <c r="B48" s="20" t="s">
        <v>145</v>
      </c>
      <c r="C48" s="20"/>
      <c r="D48" s="20">
        <v>0</v>
      </c>
      <c r="E48" s="20" t="str">
        <f>รายรับรายจ่ายกำไร_ย่อย!A6</f>
        <v>ศูนย์สุขภาพช้างและสัตว์ป่า</v>
      </c>
      <c r="F48" s="20" t="s">
        <v>147</v>
      </c>
      <c r="G48" s="20" t="s">
        <v>56</v>
      </c>
      <c r="H48" s="20" t="s">
        <v>149</v>
      </c>
      <c r="I48" s="38">
        <v>0</v>
      </c>
      <c r="J48" s="38">
        <v>0</v>
      </c>
      <c r="K48" s="38">
        <f>รายรับรายจ่ายกำไร_ย่อย!C6</f>
        <v>396333</v>
      </c>
      <c r="L48" s="21" t="s">
        <v>104</v>
      </c>
    </row>
    <row r="49" spans="1:12" x14ac:dyDescent="0.15">
      <c r="A49" s="19">
        <v>69</v>
      </c>
      <c r="B49" s="20" t="s">
        <v>145</v>
      </c>
      <c r="C49" s="20"/>
      <c r="D49" s="20">
        <v>0</v>
      </c>
      <c r="E49" s="20" t="str">
        <f>รายรับรายจ่ายกำไร_ย่อย!A6</f>
        <v>ศูนย์สุขภาพช้างและสัตว์ป่า</v>
      </c>
      <c r="F49" s="20" t="s">
        <v>147</v>
      </c>
      <c r="G49" s="20" t="s">
        <v>56</v>
      </c>
      <c r="H49" s="20" t="s">
        <v>63</v>
      </c>
      <c r="I49" s="38">
        <v>0</v>
      </c>
      <c r="J49" s="38">
        <v>0</v>
      </c>
      <c r="K49" s="38">
        <f>รายรับรายจ่ายกำไร_ย่อย!D6</f>
        <v>648272</v>
      </c>
      <c r="L49" s="21" t="s">
        <v>104</v>
      </c>
    </row>
    <row r="50" spans="1:12" x14ac:dyDescent="0.15">
      <c r="A50" s="19">
        <v>69</v>
      </c>
      <c r="B50" s="20" t="s">
        <v>145</v>
      </c>
      <c r="C50" s="20"/>
      <c r="D50" s="20">
        <v>0</v>
      </c>
      <c r="E50" s="20" t="str">
        <f>ประมาณการรายรับกับรายรับจริง_แย!A6</f>
        <v>ศูนย์สุขภาพช้างและสัตว์ป่า</v>
      </c>
      <c r="F50" s="20" t="s">
        <v>141</v>
      </c>
      <c r="G50" s="20" t="s">
        <v>148</v>
      </c>
      <c r="H50" s="20" t="s">
        <v>154</v>
      </c>
      <c r="I50" s="38">
        <v>0</v>
      </c>
      <c r="J50" s="38">
        <v>0</v>
      </c>
      <c r="K50" s="38">
        <f>ประมาณการรายรับกับรายรับจริง_แย!B6</f>
        <v>2173300</v>
      </c>
      <c r="L50" s="21" t="s">
        <v>115</v>
      </c>
    </row>
    <row r="51" spans="1:12" x14ac:dyDescent="0.15">
      <c r="A51" s="19">
        <v>69</v>
      </c>
      <c r="B51" s="20" t="s">
        <v>145</v>
      </c>
      <c r="C51" s="20"/>
      <c r="D51" s="20">
        <v>0</v>
      </c>
      <c r="E51" s="20" t="str">
        <f>ประมาณการรายรับกับรายรับจริง_แย!A6</f>
        <v>ศูนย์สุขภาพช้างและสัตว์ป่า</v>
      </c>
      <c r="F51" s="20" t="s">
        <v>141</v>
      </c>
      <c r="G51" s="20" t="s">
        <v>148</v>
      </c>
      <c r="H51" s="20" t="s">
        <v>155</v>
      </c>
      <c r="I51" s="38">
        <v>0</v>
      </c>
      <c r="J51" s="38">
        <v>0</v>
      </c>
      <c r="K51" s="38">
        <f>ประมาณการรายรับกับรายรับจริง_แย!C6</f>
        <v>1044605</v>
      </c>
      <c r="L51" s="21" t="s">
        <v>115</v>
      </c>
    </row>
    <row r="52" spans="1:12" x14ac:dyDescent="0.15">
      <c r="A52" s="19">
        <v>69</v>
      </c>
      <c r="B52" s="20" t="s">
        <v>145</v>
      </c>
      <c r="C52" s="20"/>
      <c r="D52" s="20">
        <v>0</v>
      </c>
      <c r="E52" s="20" t="str">
        <f>ประมาณการรายจ่ายกับรายจ่ายจริงแ!A6</f>
        <v>ศูนย์สุขภาพช้างและสัตว์ป่า</v>
      </c>
      <c r="F52" s="20" t="s">
        <v>141</v>
      </c>
      <c r="G52" s="20" t="s">
        <v>149</v>
      </c>
      <c r="H52" s="20" t="s">
        <v>156</v>
      </c>
      <c r="I52" s="38">
        <v>0</v>
      </c>
      <c r="J52" s="38">
        <v>0</v>
      </c>
      <c r="K52" s="38">
        <f>ประมาณการรายจ่ายกับรายจ่ายจริงแ!B6</f>
        <v>1426100</v>
      </c>
      <c r="L52" s="21" t="s">
        <v>124</v>
      </c>
    </row>
    <row r="53" spans="1:12" x14ac:dyDescent="0.15">
      <c r="A53" s="19">
        <v>69</v>
      </c>
      <c r="B53" s="20" t="s">
        <v>145</v>
      </c>
      <c r="C53" s="20"/>
      <c r="D53" s="20">
        <v>0</v>
      </c>
      <c r="E53" s="20" t="str">
        <f>ประมาณการรายจ่ายกับรายจ่ายจริงแ!A6</f>
        <v>ศูนย์สุขภาพช้างและสัตว์ป่า</v>
      </c>
      <c r="F53" s="20" t="s">
        <v>141</v>
      </c>
      <c r="G53" s="20" t="s">
        <v>149</v>
      </c>
      <c r="H53" s="20" t="s">
        <v>157</v>
      </c>
      <c r="I53" s="38">
        <v>0</v>
      </c>
      <c r="J53" s="38">
        <v>0</v>
      </c>
      <c r="K53" s="38">
        <f>ประมาณการรายจ่ายกับรายจ่ายจริงแ!C6</f>
        <v>396333</v>
      </c>
      <c r="L53" s="21" t="s">
        <v>124</v>
      </c>
    </row>
    <row r="54" spans="1:12" x14ac:dyDescent="0.15">
      <c r="A54" s="19">
        <v>69</v>
      </c>
      <c r="B54" s="20" t="s">
        <v>145</v>
      </c>
      <c r="C54" s="20"/>
      <c r="D54" s="20">
        <v>0</v>
      </c>
      <c r="E54" s="20" t="str">
        <f>รายรับรายจ่ายกำไร_ย่อย!A7</f>
        <v>ศูนย์ชันเวชศาสตร์ชันสูตรและนวัตกรรมด้านสุขภาพสัตว์</v>
      </c>
      <c r="F54" s="20" t="s">
        <v>147</v>
      </c>
      <c r="G54" s="20" t="s">
        <v>56</v>
      </c>
      <c r="H54" s="20" t="s">
        <v>148</v>
      </c>
      <c r="I54" s="38">
        <v>0</v>
      </c>
      <c r="J54" s="38">
        <v>0</v>
      </c>
      <c r="K54" s="38">
        <f>รายรับรายจ่ายกำไร_ย่อย!B7</f>
        <v>2741058</v>
      </c>
      <c r="L54" s="21" t="s">
        <v>104</v>
      </c>
    </row>
    <row r="55" spans="1:12" x14ac:dyDescent="0.15">
      <c r="A55" s="19">
        <v>69</v>
      </c>
      <c r="B55" s="20" t="s">
        <v>145</v>
      </c>
      <c r="C55" s="20"/>
      <c r="D55" s="20">
        <v>0</v>
      </c>
      <c r="E55" s="20" t="str">
        <f>รายรับรายจ่ายกำไร_ย่อย!A7</f>
        <v>ศูนย์ชันเวชศาสตร์ชันสูตรและนวัตกรรมด้านสุขภาพสัตว์</v>
      </c>
      <c r="F55" s="20" t="s">
        <v>147</v>
      </c>
      <c r="G55" s="20" t="s">
        <v>56</v>
      </c>
      <c r="H55" s="20" t="s">
        <v>149</v>
      </c>
      <c r="I55" s="38">
        <v>0</v>
      </c>
      <c r="J55" s="38">
        <v>0</v>
      </c>
      <c r="K55" s="38">
        <f>รายรับรายจ่ายกำไร_ย่อย!C7</f>
        <v>2740822</v>
      </c>
      <c r="L55" s="21" t="s">
        <v>104</v>
      </c>
    </row>
    <row r="56" spans="1:12" x14ac:dyDescent="0.15">
      <c r="A56" s="19">
        <v>69</v>
      </c>
      <c r="B56" s="20" t="s">
        <v>145</v>
      </c>
      <c r="C56" s="20"/>
      <c r="D56" s="20">
        <v>0</v>
      </c>
      <c r="E56" s="20" t="str">
        <f>รายรับรายจ่ายกำไร_ย่อย!A7</f>
        <v>ศูนย์ชันเวชศาสตร์ชันสูตรและนวัตกรรมด้านสุขภาพสัตว์</v>
      </c>
      <c r="F56" s="20" t="s">
        <v>147</v>
      </c>
      <c r="G56" s="20" t="s">
        <v>56</v>
      </c>
      <c r="H56" s="20" t="s">
        <v>63</v>
      </c>
      <c r="I56" s="38">
        <v>0</v>
      </c>
      <c r="J56" s="38">
        <v>0</v>
      </c>
      <c r="K56" s="38">
        <f>รายรับรายจ่ายกำไร_ย่อย!D7</f>
        <v>236</v>
      </c>
      <c r="L56" s="21" t="s">
        <v>104</v>
      </c>
    </row>
    <row r="57" spans="1:12" x14ac:dyDescent="0.15">
      <c r="A57" s="19">
        <v>69</v>
      </c>
      <c r="B57" s="20" t="s">
        <v>145</v>
      </c>
      <c r="C57" s="20"/>
      <c r="D57" s="20">
        <v>0</v>
      </c>
      <c r="E57" s="20" t="str">
        <f>ประมาณการรายรับกับรายรับจริง_แย!A7</f>
        <v>ศูนย์ชันเวชศาสตร์ชันสูตรและนวัตกรรมด้านสุขภาพสัตว์</v>
      </c>
      <c r="F57" s="20" t="s">
        <v>141</v>
      </c>
      <c r="G57" s="20" t="s">
        <v>148</v>
      </c>
      <c r="H57" s="20" t="s">
        <v>154</v>
      </c>
      <c r="I57" s="38">
        <v>0</v>
      </c>
      <c r="J57" s="38">
        <v>0</v>
      </c>
      <c r="K57" s="38">
        <f>ประมาณการรายรับกับรายรับจริง_แย!B7</f>
        <v>7074000</v>
      </c>
      <c r="L57" s="21" t="s">
        <v>115</v>
      </c>
    </row>
    <row r="58" spans="1:12" x14ac:dyDescent="0.15">
      <c r="A58" s="19">
        <v>69</v>
      </c>
      <c r="B58" s="20" t="s">
        <v>145</v>
      </c>
      <c r="C58" s="20"/>
      <c r="D58" s="20">
        <v>0</v>
      </c>
      <c r="E58" s="20" t="str">
        <f>ประมาณการรายรับกับรายรับจริง_แย!A7</f>
        <v>ศูนย์ชันเวชศาสตร์ชันสูตรและนวัตกรรมด้านสุขภาพสัตว์</v>
      </c>
      <c r="F58" s="20" t="s">
        <v>141</v>
      </c>
      <c r="G58" s="20" t="s">
        <v>148</v>
      </c>
      <c r="H58" s="20" t="s">
        <v>155</v>
      </c>
      <c r="I58" s="38">
        <v>0</v>
      </c>
      <c r="J58" s="38">
        <v>0</v>
      </c>
      <c r="K58" s="38">
        <f>ประมาณการรายรับกับรายรับจริง_แย!C7</f>
        <v>2741058</v>
      </c>
      <c r="L58" s="21" t="s">
        <v>115</v>
      </c>
    </row>
    <row r="59" spans="1:12" x14ac:dyDescent="0.15">
      <c r="A59" s="19">
        <v>69</v>
      </c>
      <c r="B59" s="20" t="s">
        <v>145</v>
      </c>
      <c r="C59" s="20"/>
      <c r="D59" s="20">
        <v>0</v>
      </c>
      <c r="E59" s="20" t="str">
        <f>ประมาณการรายจ่ายกับรายจ่ายจริงแ!A7</f>
        <v>ศูนย์ชันเวชศาสตร์ชันสูตรและนวัตกรรมด้านสุขภาพสัตว์</v>
      </c>
      <c r="F59" s="20" t="s">
        <v>141</v>
      </c>
      <c r="G59" s="20" t="s">
        <v>149</v>
      </c>
      <c r="H59" s="20" t="s">
        <v>156</v>
      </c>
      <c r="I59" s="38">
        <v>0</v>
      </c>
      <c r="J59" s="38">
        <v>0</v>
      </c>
      <c r="K59" s="38">
        <f>ประมาณการรายจ่ายกับรายจ่ายจริงแ!B7</f>
        <v>6366600</v>
      </c>
      <c r="L59" s="21" t="s">
        <v>124</v>
      </c>
    </row>
    <row r="60" spans="1:12" x14ac:dyDescent="0.15">
      <c r="A60" s="19">
        <v>69</v>
      </c>
      <c r="B60" s="20" t="s">
        <v>145</v>
      </c>
      <c r="C60" s="20"/>
      <c r="D60" s="20">
        <v>0</v>
      </c>
      <c r="E60" s="20" t="str">
        <f>ประมาณการรายจ่ายกับรายจ่ายจริงแ!A7</f>
        <v>ศูนย์ชันเวชศาสตร์ชันสูตรและนวัตกรรมด้านสุขภาพสัตว์</v>
      </c>
      <c r="F60" s="20" t="s">
        <v>141</v>
      </c>
      <c r="G60" s="20" t="s">
        <v>149</v>
      </c>
      <c r="H60" s="20" t="s">
        <v>157</v>
      </c>
      <c r="I60" s="38">
        <v>0</v>
      </c>
      <c r="J60" s="38">
        <v>0</v>
      </c>
      <c r="K60" s="38">
        <f>ประมาณการรายจ่ายกับรายจ่ายจริงแ!C7</f>
        <v>2740822</v>
      </c>
      <c r="L60" s="21" t="s">
        <v>124</v>
      </c>
    </row>
    <row r="61" spans="1:12" x14ac:dyDescent="0.15">
      <c r="A61" s="19">
        <v>69</v>
      </c>
      <c r="B61" s="20" t="s">
        <v>145</v>
      </c>
      <c r="C61" s="20"/>
      <c r="D61" s="20">
        <v>0</v>
      </c>
      <c r="E61" s="20" t="str">
        <f>รายรับรายจ่ายกำไร_ย่อย!A8</f>
        <v>ศูนย์ความเป็นเลิศด้านเวชศาสตร์แมว</v>
      </c>
      <c r="F61" s="20" t="s">
        <v>147</v>
      </c>
      <c r="G61" s="20" t="s">
        <v>56</v>
      </c>
      <c r="H61" s="20" t="s">
        <v>148</v>
      </c>
      <c r="I61" s="38">
        <v>0</v>
      </c>
      <c r="J61" s="38">
        <v>0</v>
      </c>
      <c r="K61" s="38">
        <f>รายรับรายจ่ายกำไร_ย่อย!B8</f>
        <v>0</v>
      </c>
      <c r="L61" s="21" t="s">
        <v>104</v>
      </c>
    </row>
    <row r="62" spans="1:12" x14ac:dyDescent="0.15">
      <c r="A62" s="19">
        <v>69</v>
      </c>
      <c r="B62" s="20" t="s">
        <v>145</v>
      </c>
      <c r="C62" s="20"/>
      <c r="D62" s="20">
        <v>0</v>
      </c>
      <c r="E62" s="20" t="str">
        <f>รายรับรายจ่ายกำไร_ย่อย!A8</f>
        <v>ศูนย์ความเป็นเลิศด้านเวชศาสตร์แมว</v>
      </c>
      <c r="F62" s="20" t="s">
        <v>147</v>
      </c>
      <c r="G62" s="20" t="s">
        <v>56</v>
      </c>
      <c r="H62" s="20" t="s">
        <v>149</v>
      </c>
      <c r="I62" s="38">
        <v>0</v>
      </c>
      <c r="J62" s="38">
        <v>0</v>
      </c>
      <c r="K62" s="38">
        <f>รายรับรายจ่ายกำไร_ย่อย!C8</f>
        <v>0</v>
      </c>
      <c r="L62" s="21" t="s">
        <v>104</v>
      </c>
    </row>
    <row r="63" spans="1:12" x14ac:dyDescent="0.15">
      <c r="A63" s="19">
        <v>69</v>
      </c>
      <c r="B63" s="20" t="s">
        <v>145</v>
      </c>
      <c r="C63" s="20"/>
      <c r="D63" s="20">
        <v>0</v>
      </c>
      <c r="E63" s="20" t="str">
        <f>รายรับรายจ่ายกำไร_ย่อย!A8</f>
        <v>ศูนย์ความเป็นเลิศด้านเวชศาสตร์แมว</v>
      </c>
      <c r="F63" s="20" t="s">
        <v>147</v>
      </c>
      <c r="G63" s="20" t="s">
        <v>56</v>
      </c>
      <c r="H63" s="20" t="s">
        <v>63</v>
      </c>
      <c r="I63" s="38">
        <v>0</v>
      </c>
      <c r="J63" s="38">
        <v>0</v>
      </c>
      <c r="K63" s="38">
        <f>รายรับรายจ่ายกำไร_ย่อย!D8</f>
        <v>0</v>
      </c>
      <c r="L63" s="21" t="s">
        <v>104</v>
      </c>
    </row>
    <row r="64" spans="1:12" x14ac:dyDescent="0.15">
      <c r="A64" s="19">
        <v>69</v>
      </c>
      <c r="B64" s="20" t="s">
        <v>145</v>
      </c>
      <c r="C64" s="20"/>
      <c r="D64" s="20">
        <v>0</v>
      </c>
      <c r="E64" s="20" t="str">
        <f>ประมาณการรายรับกับรายรับจริง_แย!A8</f>
        <v>ศูนย์ความเป็นเลิศด้านเวชศาสตร์แมว</v>
      </c>
      <c r="F64" s="20" t="s">
        <v>141</v>
      </c>
      <c r="G64" s="20" t="s">
        <v>148</v>
      </c>
      <c r="H64" s="20" t="s">
        <v>154</v>
      </c>
      <c r="I64" s="38">
        <v>0</v>
      </c>
      <c r="J64" s="38">
        <v>0</v>
      </c>
      <c r="K64" s="38">
        <f>ประมาณการรายรับกับรายรับจริง_แย!B8</f>
        <v>0</v>
      </c>
      <c r="L64" s="21" t="s">
        <v>115</v>
      </c>
    </row>
    <row r="65" spans="1:12" x14ac:dyDescent="0.15">
      <c r="A65" s="19">
        <v>69</v>
      </c>
      <c r="B65" s="20" t="s">
        <v>145</v>
      </c>
      <c r="C65" s="20"/>
      <c r="D65" s="20">
        <v>0</v>
      </c>
      <c r="E65" s="20" t="str">
        <f>ประมาณการรายรับกับรายรับจริง_แย!A8</f>
        <v>ศูนย์ความเป็นเลิศด้านเวชศาสตร์แมว</v>
      </c>
      <c r="F65" s="20" t="s">
        <v>141</v>
      </c>
      <c r="G65" s="20" t="s">
        <v>148</v>
      </c>
      <c r="H65" s="20" t="s">
        <v>155</v>
      </c>
      <c r="I65" s="38">
        <v>0</v>
      </c>
      <c r="J65" s="38">
        <v>0</v>
      </c>
      <c r="K65" s="38">
        <f>ประมาณการรายรับกับรายรับจริง_แย!C8</f>
        <v>0</v>
      </c>
      <c r="L65" s="21" t="s">
        <v>115</v>
      </c>
    </row>
    <row r="66" spans="1:12" x14ac:dyDescent="0.15">
      <c r="A66" s="19">
        <v>69</v>
      </c>
      <c r="B66" s="20" t="s">
        <v>145</v>
      </c>
      <c r="C66" s="20"/>
      <c r="D66" s="20">
        <v>0</v>
      </c>
      <c r="E66" s="20" t="str">
        <f>ประมาณการรายจ่ายกับรายจ่ายจริงแ!A8</f>
        <v>ศูนย์ความเป็นเลิศด้านเวชศาสตร์แมว</v>
      </c>
      <c r="F66" s="20" t="s">
        <v>141</v>
      </c>
      <c r="G66" s="20" t="s">
        <v>149</v>
      </c>
      <c r="H66" s="20" t="s">
        <v>156</v>
      </c>
      <c r="I66" s="38">
        <v>0</v>
      </c>
      <c r="J66" s="38">
        <v>0</v>
      </c>
      <c r="K66" s="38">
        <f>ประมาณการรายจ่ายกับรายจ่ายจริงแ!B8</f>
        <v>0</v>
      </c>
      <c r="L66" s="21" t="s">
        <v>124</v>
      </c>
    </row>
    <row r="67" spans="1:12" x14ac:dyDescent="0.15">
      <c r="A67" s="19">
        <v>69</v>
      </c>
      <c r="B67" s="20" t="s">
        <v>145</v>
      </c>
      <c r="C67" s="20"/>
      <c r="D67" s="20">
        <v>0</v>
      </c>
      <c r="E67" s="20" t="str">
        <f>ประมาณการรายจ่ายกับรายจ่ายจริงแ!A8</f>
        <v>ศูนย์ความเป็นเลิศด้านเวชศาสตร์แมว</v>
      </c>
      <c r="F67" s="20" t="s">
        <v>141</v>
      </c>
      <c r="G67" s="20" t="s">
        <v>149</v>
      </c>
      <c r="H67" s="20" t="s">
        <v>157</v>
      </c>
      <c r="I67" s="38">
        <v>0</v>
      </c>
      <c r="J67" s="38">
        <v>0</v>
      </c>
      <c r="K67" s="38">
        <f>ประมาณการรายจ่ายกับรายจ่ายจริงแ!C8</f>
        <v>0</v>
      </c>
      <c r="L67" s="21" t="s">
        <v>124</v>
      </c>
    </row>
    <row r="68" spans="1:12" x14ac:dyDescent="0.15">
      <c r="A68" s="19">
        <v>69</v>
      </c>
      <c r="B68" s="20" t="s">
        <v>145</v>
      </c>
      <c r="C68" s="20"/>
      <c r="D68" s="20">
        <v>0</v>
      </c>
      <c r="E68" s="20" t="str">
        <f>รายรับรายจ่ายกำไร_ย่อย!A9</f>
        <v>Pet CMU (กลุ่มงานบ่มเพาะวิสาหกิจทางสัตวแพทย์)</v>
      </c>
      <c r="F68" s="20" t="s">
        <v>147</v>
      </c>
      <c r="G68" s="20" t="s">
        <v>56</v>
      </c>
      <c r="H68" s="20" t="s">
        <v>148</v>
      </c>
      <c r="I68" s="38">
        <v>0</v>
      </c>
      <c r="J68" s="38">
        <v>0</v>
      </c>
      <c r="K68" s="38">
        <f>รายรับรายจ่ายกำไร_ย่อย!B9</f>
        <v>7351957</v>
      </c>
      <c r="L68" s="21" t="s">
        <v>104</v>
      </c>
    </row>
    <row r="69" spans="1:12" x14ac:dyDescent="0.15">
      <c r="A69" s="19">
        <v>69</v>
      </c>
      <c r="B69" s="20" t="s">
        <v>145</v>
      </c>
      <c r="C69" s="20"/>
      <c r="D69" s="20">
        <v>0</v>
      </c>
      <c r="E69" s="20" t="str">
        <f>รายรับรายจ่ายกำไร_ย่อย!A9</f>
        <v>Pet CMU (กลุ่มงานบ่มเพาะวิสาหกิจทางสัตวแพทย์)</v>
      </c>
      <c r="F69" s="20" t="s">
        <v>147</v>
      </c>
      <c r="G69" s="20" t="s">
        <v>56</v>
      </c>
      <c r="H69" s="20" t="s">
        <v>149</v>
      </c>
      <c r="I69" s="38">
        <v>0</v>
      </c>
      <c r="J69" s="38">
        <v>0</v>
      </c>
      <c r="K69" s="38">
        <f>รายรับรายจ่ายกำไร_ย่อย!C9</f>
        <v>4155836</v>
      </c>
      <c r="L69" s="21" t="s">
        <v>104</v>
      </c>
    </row>
    <row r="70" spans="1:12" x14ac:dyDescent="0.15">
      <c r="A70" s="19">
        <v>69</v>
      </c>
      <c r="B70" s="20" t="s">
        <v>145</v>
      </c>
      <c r="C70" s="20"/>
      <c r="D70" s="20">
        <v>0</v>
      </c>
      <c r="E70" s="20" t="str">
        <f>รายรับรายจ่ายกำไร_ย่อย!A9</f>
        <v>Pet CMU (กลุ่มงานบ่มเพาะวิสาหกิจทางสัตวแพทย์)</v>
      </c>
      <c r="F70" s="20" t="s">
        <v>147</v>
      </c>
      <c r="G70" s="20" t="s">
        <v>56</v>
      </c>
      <c r="H70" s="20" t="s">
        <v>63</v>
      </c>
      <c r="I70" s="38">
        <v>0</v>
      </c>
      <c r="J70" s="38">
        <v>0</v>
      </c>
      <c r="K70" s="38">
        <f>รายรับรายจ่ายกำไร_ย่อย!D9</f>
        <v>3196121</v>
      </c>
      <c r="L70" s="21" t="s">
        <v>104</v>
      </c>
    </row>
    <row r="71" spans="1:12" x14ac:dyDescent="0.15">
      <c r="A71" s="19">
        <v>69</v>
      </c>
      <c r="B71" s="20" t="s">
        <v>145</v>
      </c>
      <c r="C71" s="20"/>
      <c r="D71" s="20">
        <v>0</v>
      </c>
      <c r="E71" s="20" t="str">
        <f>ประมาณการรายรับกับรายรับจริง_แย!A9</f>
        <v>Pet CMU (กลุ่มงานบ่มเพาะวิสาหกิจทางสัตวแพทย์)</v>
      </c>
      <c r="F71" s="20" t="s">
        <v>141</v>
      </c>
      <c r="G71" s="20" t="s">
        <v>148</v>
      </c>
      <c r="H71" s="20" t="s">
        <v>154</v>
      </c>
      <c r="I71" s="38">
        <v>0</v>
      </c>
      <c r="J71" s="38">
        <v>0</v>
      </c>
      <c r="K71" s="38">
        <f>ประมาณการรายรับกับรายรับจริง_แย!B9</f>
        <v>7959800</v>
      </c>
      <c r="L71" s="21" t="s">
        <v>115</v>
      </c>
    </row>
    <row r="72" spans="1:12" x14ac:dyDescent="0.15">
      <c r="A72" s="19">
        <v>69</v>
      </c>
      <c r="B72" s="20" t="s">
        <v>145</v>
      </c>
      <c r="C72" s="20"/>
      <c r="D72" s="20">
        <v>0</v>
      </c>
      <c r="E72" s="20" t="str">
        <f>ประมาณการรายรับกับรายรับจริง_แย!A9</f>
        <v>Pet CMU (กลุ่มงานบ่มเพาะวิสาหกิจทางสัตวแพทย์)</v>
      </c>
      <c r="F72" s="20" t="s">
        <v>141</v>
      </c>
      <c r="G72" s="20" t="s">
        <v>148</v>
      </c>
      <c r="H72" s="20" t="s">
        <v>155</v>
      </c>
      <c r="I72" s="38">
        <v>0</v>
      </c>
      <c r="J72" s="38">
        <v>0</v>
      </c>
      <c r="K72" s="38">
        <f>ประมาณการรายรับกับรายรับจริง_แย!C9</f>
        <v>7351957</v>
      </c>
      <c r="L72" s="21" t="s">
        <v>115</v>
      </c>
    </row>
    <row r="73" spans="1:12" x14ac:dyDescent="0.15">
      <c r="A73" s="19">
        <v>69</v>
      </c>
      <c r="B73" s="20" t="s">
        <v>145</v>
      </c>
      <c r="C73" s="20"/>
      <c r="D73" s="20">
        <v>0</v>
      </c>
      <c r="E73" s="20" t="str">
        <f>ประมาณการรายจ่ายกับรายจ่ายจริงแ!A9</f>
        <v>Pet CMU (กลุ่มงานบ่มเพาะวิสาหกิจทางสัตวแพทย์)</v>
      </c>
      <c r="F73" s="20" t="s">
        <v>141</v>
      </c>
      <c r="G73" s="20" t="s">
        <v>149</v>
      </c>
      <c r="H73" s="20" t="s">
        <v>156</v>
      </c>
      <c r="I73" s="38">
        <v>0</v>
      </c>
      <c r="J73" s="38">
        <v>0</v>
      </c>
      <c r="K73" s="38">
        <f>ประมาณการรายจ่ายกับรายจ่ายจริงแ!B9</f>
        <v>7163800</v>
      </c>
      <c r="L73" s="21" t="s">
        <v>124</v>
      </c>
    </row>
    <row r="74" spans="1:12" x14ac:dyDescent="0.15">
      <c r="A74" s="19">
        <v>69</v>
      </c>
      <c r="B74" s="20" t="s">
        <v>145</v>
      </c>
      <c r="C74" s="20"/>
      <c r="D74" s="20">
        <v>0</v>
      </c>
      <c r="E74" s="20" t="str">
        <f>ประมาณการรายจ่ายกับรายจ่ายจริงแ!A9</f>
        <v>Pet CMU (กลุ่มงานบ่มเพาะวิสาหกิจทางสัตวแพทย์)</v>
      </c>
      <c r="F74" s="20" t="s">
        <v>141</v>
      </c>
      <c r="G74" s="20" t="s">
        <v>149</v>
      </c>
      <c r="H74" s="20" t="s">
        <v>157</v>
      </c>
      <c r="I74" s="38">
        <v>0</v>
      </c>
      <c r="J74" s="38">
        <v>0</v>
      </c>
      <c r="K74" s="38">
        <f>ประมาณการรายจ่ายกับรายจ่ายจริงแ!C9</f>
        <v>4155836</v>
      </c>
      <c r="L74" s="21" t="s">
        <v>124</v>
      </c>
    </row>
    <row r="75" spans="1:12" x14ac:dyDescent="0.15">
      <c r="A75" s="19">
        <v>69</v>
      </c>
      <c r="B75" s="20" t="s">
        <v>145</v>
      </c>
      <c r="C75" s="20"/>
      <c r="D75" s="20">
        <v>0</v>
      </c>
      <c r="E75" s="20" t="str">
        <f>รายรับรายจ่ายกำไร_ย่อย!A10</f>
        <v>ศูนย์สัตวแพทย์สาธารณสุขและอาหารปลอดภัยเอเชียแปซิฟิก</v>
      </c>
      <c r="F75" s="20" t="s">
        <v>147</v>
      </c>
      <c r="G75" s="20" t="s">
        <v>56</v>
      </c>
      <c r="H75" s="20" t="s">
        <v>148</v>
      </c>
      <c r="I75" s="38">
        <v>0</v>
      </c>
      <c r="J75" s="38">
        <v>0</v>
      </c>
      <c r="K75" s="38">
        <f>รายรับรายจ่ายกำไร_ย่อย!B10</f>
        <v>11985</v>
      </c>
      <c r="L75" s="21" t="s">
        <v>104</v>
      </c>
    </row>
    <row r="76" spans="1:12" x14ac:dyDescent="0.15">
      <c r="A76" s="19">
        <v>69</v>
      </c>
      <c r="B76" s="20" t="s">
        <v>145</v>
      </c>
      <c r="C76" s="20"/>
      <c r="D76" s="20">
        <v>0</v>
      </c>
      <c r="E76" s="20" t="str">
        <f>รายรับรายจ่ายกำไร_ย่อย!A10</f>
        <v>ศูนย์สัตวแพทย์สาธารณสุขและอาหารปลอดภัยเอเชียแปซิฟิก</v>
      </c>
      <c r="F76" s="20" t="s">
        <v>147</v>
      </c>
      <c r="G76" s="20" t="s">
        <v>56</v>
      </c>
      <c r="H76" s="20" t="s">
        <v>149</v>
      </c>
      <c r="I76" s="38">
        <v>0</v>
      </c>
      <c r="J76" s="38">
        <v>0</v>
      </c>
      <c r="K76" s="38">
        <f>รายรับรายจ่ายกำไร_ย่อย!C10</f>
        <v>189641</v>
      </c>
      <c r="L76" s="21" t="s">
        <v>104</v>
      </c>
    </row>
    <row r="77" spans="1:12" x14ac:dyDescent="0.15">
      <c r="A77" s="19">
        <v>69</v>
      </c>
      <c r="B77" s="20" t="s">
        <v>145</v>
      </c>
      <c r="C77" s="20"/>
      <c r="D77" s="20">
        <v>0</v>
      </c>
      <c r="E77" s="20" t="str">
        <f>รายรับรายจ่ายกำไร_ย่อย!A10</f>
        <v>ศูนย์สัตวแพทย์สาธารณสุขและอาหารปลอดภัยเอเชียแปซิฟิก</v>
      </c>
      <c r="F77" s="20" t="s">
        <v>147</v>
      </c>
      <c r="G77" s="20" t="s">
        <v>56</v>
      </c>
      <c r="H77" s="20" t="s">
        <v>63</v>
      </c>
      <c r="I77" s="38">
        <v>0</v>
      </c>
      <c r="J77" s="38">
        <v>0</v>
      </c>
      <c r="K77" s="38">
        <f>รายรับรายจ่ายกำไร_ย่อย!D10</f>
        <v>-177656</v>
      </c>
      <c r="L77" s="21" t="s">
        <v>104</v>
      </c>
    </row>
    <row r="78" spans="1:12" x14ac:dyDescent="0.15">
      <c r="A78" s="19">
        <v>69</v>
      </c>
      <c r="B78" s="20" t="s">
        <v>145</v>
      </c>
      <c r="C78" s="20"/>
      <c r="D78" s="20">
        <v>0</v>
      </c>
      <c r="E78" s="20" t="str">
        <f>ประมาณการรายรับกับรายรับจริง_แย!A10</f>
        <v>ศูนย์สัตวแพทย์สาธารณสุขและอาหารปลอดภัยเอเชียแปซิฟิก</v>
      </c>
      <c r="F78" s="20" t="s">
        <v>141</v>
      </c>
      <c r="G78" s="20" t="s">
        <v>148</v>
      </c>
      <c r="H78" s="20" t="s">
        <v>154</v>
      </c>
      <c r="I78" s="38">
        <v>0</v>
      </c>
      <c r="J78" s="38">
        <v>0</v>
      </c>
      <c r="K78" s="38">
        <f>ประมาณการรายรับกับรายรับจริง_แย!B10</f>
        <v>526500</v>
      </c>
      <c r="L78" s="21" t="s">
        <v>115</v>
      </c>
    </row>
    <row r="79" spans="1:12" x14ac:dyDescent="0.15">
      <c r="A79" s="19">
        <v>69</v>
      </c>
      <c r="B79" s="20" t="s">
        <v>145</v>
      </c>
      <c r="C79" s="20"/>
      <c r="D79" s="20">
        <v>0</v>
      </c>
      <c r="E79" s="20" t="str">
        <f>ประมาณการรายรับกับรายรับจริง_แย!A10</f>
        <v>ศูนย์สัตวแพทย์สาธารณสุขและอาหารปลอดภัยเอเชียแปซิฟิก</v>
      </c>
      <c r="F79" s="20" t="s">
        <v>141</v>
      </c>
      <c r="G79" s="20" t="s">
        <v>148</v>
      </c>
      <c r="H79" s="20" t="s">
        <v>155</v>
      </c>
      <c r="I79" s="38">
        <v>0</v>
      </c>
      <c r="J79" s="38">
        <v>0</v>
      </c>
      <c r="K79" s="38">
        <f>ประมาณการรายรับกับรายรับจริง_แย!C10</f>
        <v>11985</v>
      </c>
      <c r="L79" s="21" t="s">
        <v>115</v>
      </c>
    </row>
    <row r="80" spans="1:12" x14ac:dyDescent="0.15">
      <c r="A80" s="19">
        <v>69</v>
      </c>
      <c r="B80" s="20" t="s">
        <v>145</v>
      </c>
      <c r="C80" s="20"/>
      <c r="D80" s="20">
        <v>0</v>
      </c>
      <c r="E80" s="20" t="str">
        <f>ประมาณการรายจ่ายกับรายจ่ายจริงแ!A10</f>
        <v>ศูนย์สัตวแพทย์สาธารณสุขและอาหารปลอดภัยเอเชียแปซิฟิก</v>
      </c>
      <c r="F80" s="20" t="s">
        <v>141</v>
      </c>
      <c r="G80" s="20" t="s">
        <v>149</v>
      </c>
      <c r="H80" s="20" t="s">
        <v>156</v>
      </c>
      <c r="I80" s="38">
        <v>0</v>
      </c>
      <c r="J80" s="38">
        <v>0</v>
      </c>
      <c r="K80" s="38">
        <f>ประมาณการรายจ่ายกับรายจ่ายจริงแ!B10</f>
        <v>500000</v>
      </c>
      <c r="L80" s="21" t="s">
        <v>124</v>
      </c>
    </row>
    <row r="81" spans="1:12" x14ac:dyDescent="0.15">
      <c r="A81" s="19">
        <v>69</v>
      </c>
      <c r="B81" s="20" t="s">
        <v>145</v>
      </c>
      <c r="C81" s="20"/>
      <c r="D81" s="20">
        <v>0</v>
      </c>
      <c r="E81" s="20" t="str">
        <f>ประมาณการรายจ่ายกับรายจ่ายจริงแ!A10</f>
        <v>ศูนย์สัตวแพทย์สาธารณสุขและอาหารปลอดภัยเอเชียแปซิฟิก</v>
      </c>
      <c r="F81" s="20" t="s">
        <v>141</v>
      </c>
      <c r="G81" s="20" t="s">
        <v>149</v>
      </c>
      <c r="H81" s="20" t="s">
        <v>157</v>
      </c>
      <c r="I81" s="38">
        <v>0</v>
      </c>
      <c r="J81" s="38">
        <v>0</v>
      </c>
      <c r="K81" s="38">
        <f>ประมาณการรายจ่ายกับรายจ่ายจริงแ!C10</f>
        <v>189641</v>
      </c>
      <c r="L81" s="21" t="s">
        <v>124</v>
      </c>
    </row>
    <row r="82" spans="1:12" x14ac:dyDescent="0.15">
      <c r="A82" s="19">
        <v>69</v>
      </c>
      <c r="B82" s="20" t="s">
        <v>145</v>
      </c>
      <c r="C82" s="20"/>
      <c r="D82" s="20">
        <v>0</v>
      </c>
      <c r="E82" s="20" t="str">
        <f>รายรับรายจ่ายกำไร_ย่อย!A11</f>
        <v>ศูนย์เฝ้าระวังสุขภาพหนึ่งเดียว PODD</v>
      </c>
      <c r="F82" s="20" t="s">
        <v>147</v>
      </c>
      <c r="G82" s="20" t="s">
        <v>56</v>
      </c>
      <c r="H82" s="20" t="s">
        <v>148</v>
      </c>
      <c r="I82" s="38">
        <v>0</v>
      </c>
      <c r="J82" s="38">
        <v>0</v>
      </c>
      <c r="K82" s="38">
        <f>รายรับรายจ่ายกำไร_ย่อย!B11</f>
        <v>1029558</v>
      </c>
      <c r="L82" s="21" t="s">
        <v>104</v>
      </c>
    </row>
    <row r="83" spans="1:12" x14ac:dyDescent="0.15">
      <c r="A83" s="19">
        <v>69</v>
      </c>
      <c r="B83" s="20" t="s">
        <v>145</v>
      </c>
      <c r="C83" s="20"/>
      <c r="D83" s="20">
        <v>0</v>
      </c>
      <c r="E83" s="20" t="str">
        <f>รายรับรายจ่ายกำไร_ย่อย!A11</f>
        <v>ศูนย์เฝ้าระวังสุขภาพหนึ่งเดียว PODD</v>
      </c>
      <c r="F83" s="20" t="s">
        <v>147</v>
      </c>
      <c r="G83" s="20" t="s">
        <v>56</v>
      </c>
      <c r="H83" s="20" t="s">
        <v>149</v>
      </c>
      <c r="I83" s="38">
        <v>0</v>
      </c>
      <c r="J83" s="38">
        <v>0</v>
      </c>
      <c r="K83" s="38">
        <f>รายรับรายจ่ายกำไร_ย่อย!C11</f>
        <v>2307358</v>
      </c>
      <c r="L83" s="21" t="s">
        <v>104</v>
      </c>
    </row>
    <row r="84" spans="1:12" x14ac:dyDescent="0.15">
      <c r="A84" s="19">
        <v>69</v>
      </c>
      <c r="B84" s="20" t="s">
        <v>145</v>
      </c>
      <c r="C84" s="20"/>
      <c r="D84" s="20">
        <v>0</v>
      </c>
      <c r="E84" s="20" t="str">
        <f>รายรับรายจ่ายกำไร_ย่อย!A11</f>
        <v>ศูนย์เฝ้าระวังสุขภาพหนึ่งเดียว PODD</v>
      </c>
      <c r="F84" s="20" t="s">
        <v>147</v>
      </c>
      <c r="G84" s="20" t="s">
        <v>56</v>
      </c>
      <c r="H84" s="20" t="s">
        <v>63</v>
      </c>
      <c r="I84" s="38">
        <v>0</v>
      </c>
      <c r="J84" s="38">
        <v>0</v>
      </c>
      <c r="K84" s="38">
        <f>รายรับรายจ่ายกำไร_ย่อย!D11</f>
        <v>-1277800</v>
      </c>
      <c r="L84" s="21" t="s">
        <v>104</v>
      </c>
    </row>
    <row r="85" spans="1:12" x14ac:dyDescent="0.15">
      <c r="A85" s="19">
        <v>69</v>
      </c>
      <c r="B85" s="20" t="s">
        <v>145</v>
      </c>
      <c r="C85" s="20"/>
      <c r="D85" s="20">
        <v>0</v>
      </c>
      <c r="E85" s="20" t="str">
        <f>ประมาณการรายรับกับรายรับจริง_แย!A11</f>
        <v>ศูนย์เฝ้าระวังสุขภาพหนึ่งเดียว PODD</v>
      </c>
      <c r="F85" s="20" t="s">
        <v>141</v>
      </c>
      <c r="G85" s="20" t="s">
        <v>148</v>
      </c>
      <c r="H85" s="20" t="s">
        <v>154</v>
      </c>
      <c r="I85" s="38">
        <v>0</v>
      </c>
      <c r="J85" s="38">
        <v>0</v>
      </c>
      <c r="K85" s="38">
        <f>ประมาณการรายรับกับรายรับจริง_แย!B11</f>
        <v>4200000</v>
      </c>
      <c r="L85" s="21" t="s">
        <v>115</v>
      </c>
    </row>
    <row r="86" spans="1:12" x14ac:dyDescent="0.15">
      <c r="A86" s="19">
        <v>69</v>
      </c>
      <c r="B86" s="20" t="s">
        <v>145</v>
      </c>
      <c r="C86" s="20"/>
      <c r="D86" s="20">
        <v>0</v>
      </c>
      <c r="E86" s="20" t="str">
        <f>ประมาณการรายรับกับรายรับจริง_แย!A11</f>
        <v>ศูนย์เฝ้าระวังสุขภาพหนึ่งเดียว PODD</v>
      </c>
      <c r="F86" s="20" t="s">
        <v>141</v>
      </c>
      <c r="G86" s="20" t="s">
        <v>148</v>
      </c>
      <c r="H86" s="20" t="s">
        <v>155</v>
      </c>
      <c r="I86" s="38">
        <v>0</v>
      </c>
      <c r="J86" s="38">
        <v>0</v>
      </c>
      <c r="K86" s="38">
        <f>ประมาณการรายรับกับรายรับจริง_แย!C11</f>
        <v>1029558</v>
      </c>
      <c r="L86" s="21" t="s">
        <v>115</v>
      </c>
    </row>
    <row r="87" spans="1:12" x14ac:dyDescent="0.15">
      <c r="A87" s="19">
        <v>69</v>
      </c>
      <c r="B87" s="20" t="s">
        <v>145</v>
      </c>
      <c r="C87" s="20"/>
      <c r="D87" s="20">
        <v>0</v>
      </c>
      <c r="E87" s="20" t="str">
        <f>ประมาณการรายจ่ายกับรายจ่ายจริงแ!A11</f>
        <v>ศูนย์เฝ้าระวังสุขภาพหนึ่งเดียว PODD</v>
      </c>
      <c r="F87" s="20" t="s">
        <v>141</v>
      </c>
      <c r="G87" s="20" t="s">
        <v>149</v>
      </c>
      <c r="H87" s="20" t="s">
        <v>156</v>
      </c>
      <c r="I87" s="38">
        <v>0</v>
      </c>
      <c r="J87" s="38">
        <v>0</v>
      </c>
      <c r="K87" s="38">
        <f>ประมาณการรายจ่ายกับรายจ่ายจริงแ!B11</f>
        <v>4000000</v>
      </c>
      <c r="L87" s="21" t="s">
        <v>124</v>
      </c>
    </row>
    <row r="88" spans="1:12" x14ac:dyDescent="0.15">
      <c r="A88" s="19">
        <v>69</v>
      </c>
      <c r="B88" s="20" t="s">
        <v>145</v>
      </c>
      <c r="C88" s="20"/>
      <c r="D88" s="20">
        <v>0</v>
      </c>
      <c r="E88" s="20" t="str">
        <f>ประมาณการรายจ่ายกับรายจ่ายจริงแ!A11</f>
        <v>ศูนย์เฝ้าระวังสุขภาพหนึ่งเดียว PODD</v>
      </c>
      <c r="F88" s="20" t="s">
        <v>141</v>
      </c>
      <c r="G88" s="20" t="s">
        <v>149</v>
      </c>
      <c r="H88" s="20" t="s">
        <v>157</v>
      </c>
      <c r="I88" s="38">
        <v>0</v>
      </c>
      <c r="J88" s="38">
        <v>0</v>
      </c>
      <c r="K88" s="38">
        <f>ประมาณการรายจ่ายกับรายจ่ายจริงแ!C11</f>
        <v>2307358</v>
      </c>
      <c r="L88" s="21" t="s">
        <v>124</v>
      </c>
    </row>
    <row r="89" spans="1:12" x14ac:dyDescent="0.15">
      <c r="A89" s="19">
        <v>69</v>
      </c>
      <c r="B89" s="20" t="s">
        <v>145</v>
      </c>
      <c r="C89" s="20"/>
      <c r="D89" s="20">
        <v>0</v>
      </c>
      <c r="E89" s="20" t="str">
        <f>รายรับรายจ่ายกำไร_ย่อย!A12</f>
        <v>สำนักงานโรงพยาบาลสัตว์(ศรีบัวบาน)</v>
      </c>
      <c r="F89" s="20" t="s">
        <v>147</v>
      </c>
      <c r="G89" s="20" t="s">
        <v>56</v>
      </c>
      <c r="H89" s="20" t="s">
        <v>148</v>
      </c>
      <c r="I89" s="38">
        <v>0</v>
      </c>
      <c r="J89" s="38">
        <v>0</v>
      </c>
      <c r="K89" s="38">
        <f>รายรับรายจ่ายกำไร_ย่อย!B12</f>
        <v>0</v>
      </c>
      <c r="L89" s="21" t="s">
        <v>104</v>
      </c>
    </row>
    <row r="90" spans="1:12" x14ac:dyDescent="0.15">
      <c r="A90" s="19">
        <v>69</v>
      </c>
      <c r="B90" s="20" t="s">
        <v>145</v>
      </c>
      <c r="C90" s="20"/>
      <c r="D90" s="20">
        <v>0</v>
      </c>
      <c r="E90" s="20" t="str">
        <f>รายรับรายจ่ายกำไร_ย่อย!A12</f>
        <v>สำนักงานโรงพยาบาลสัตว์(ศรีบัวบาน)</v>
      </c>
      <c r="F90" s="20" t="s">
        <v>147</v>
      </c>
      <c r="G90" s="20" t="s">
        <v>56</v>
      </c>
      <c r="H90" s="20" t="s">
        <v>149</v>
      </c>
      <c r="I90" s="38">
        <v>0</v>
      </c>
      <c r="J90" s="38">
        <v>0</v>
      </c>
      <c r="K90" s="38">
        <f>รายรับรายจ่ายกำไร_ย่อย!C12</f>
        <v>0</v>
      </c>
      <c r="L90" s="21" t="s">
        <v>104</v>
      </c>
    </row>
    <row r="91" spans="1:12" x14ac:dyDescent="0.15">
      <c r="A91" s="19">
        <v>69</v>
      </c>
      <c r="B91" s="20" t="s">
        <v>145</v>
      </c>
      <c r="C91" s="20"/>
      <c r="D91" s="20">
        <v>0</v>
      </c>
      <c r="E91" s="20" t="str">
        <f>รายรับรายจ่ายกำไร_ย่อย!A12</f>
        <v>สำนักงานโรงพยาบาลสัตว์(ศรีบัวบาน)</v>
      </c>
      <c r="F91" s="20" t="s">
        <v>147</v>
      </c>
      <c r="G91" s="20" t="s">
        <v>56</v>
      </c>
      <c r="H91" s="20" t="s">
        <v>63</v>
      </c>
      <c r="I91" s="38">
        <v>0</v>
      </c>
      <c r="J91" s="38">
        <v>0</v>
      </c>
      <c r="K91" s="38">
        <f>รายรับรายจ่ายกำไร_ย่อย!D12</f>
        <v>0</v>
      </c>
      <c r="L91" s="21" t="s">
        <v>104</v>
      </c>
    </row>
    <row r="92" spans="1:12" x14ac:dyDescent="0.15">
      <c r="A92" s="19">
        <v>69</v>
      </c>
      <c r="B92" s="20" t="s">
        <v>145</v>
      </c>
      <c r="C92" s="20"/>
      <c r="D92" s="20">
        <v>0</v>
      </c>
      <c r="E92" s="20" t="str">
        <f>ประมาณการรายรับกับรายรับจริง_แย!A12</f>
        <v>สำนักงานโรงพยาบาลสัตว์(ศรีบัวบาน)</v>
      </c>
      <c r="F92" s="20" t="s">
        <v>141</v>
      </c>
      <c r="G92" s="20" t="s">
        <v>148</v>
      </c>
      <c r="H92" s="20" t="s">
        <v>154</v>
      </c>
      <c r="I92" s="38">
        <v>0</v>
      </c>
      <c r="J92" s="38">
        <v>0</v>
      </c>
      <c r="K92" s="38">
        <f>ประมาณการรายรับกับรายรับจริง_แย!B12</f>
        <v>700000</v>
      </c>
      <c r="L92" s="21" t="s">
        <v>115</v>
      </c>
    </row>
    <row r="93" spans="1:12" x14ac:dyDescent="0.15">
      <c r="A93" s="19">
        <v>69</v>
      </c>
      <c r="B93" s="20" t="s">
        <v>145</v>
      </c>
      <c r="C93" s="20"/>
      <c r="D93" s="20">
        <v>0</v>
      </c>
      <c r="E93" s="20" t="str">
        <f>ประมาณการรายรับกับรายรับจริง_แย!A12</f>
        <v>สำนักงานโรงพยาบาลสัตว์(ศรีบัวบาน)</v>
      </c>
      <c r="F93" s="20" t="s">
        <v>141</v>
      </c>
      <c r="G93" s="20" t="s">
        <v>148</v>
      </c>
      <c r="H93" s="20" t="s">
        <v>155</v>
      </c>
      <c r="I93" s="38">
        <v>0</v>
      </c>
      <c r="J93" s="38">
        <v>0</v>
      </c>
      <c r="K93" s="38">
        <f>ประมาณการรายรับกับรายรับจริง_แย!C12</f>
        <v>0</v>
      </c>
      <c r="L93" s="21" t="s">
        <v>115</v>
      </c>
    </row>
    <row r="94" spans="1:12" x14ac:dyDescent="0.15">
      <c r="A94" s="19">
        <v>69</v>
      </c>
      <c r="B94" s="20" t="s">
        <v>145</v>
      </c>
      <c r="C94" s="20"/>
      <c r="D94" s="20">
        <v>0</v>
      </c>
      <c r="E94" s="20" t="str">
        <f>ประมาณการรายจ่ายกับรายจ่ายจริงแ!A12</f>
        <v>สำนักงานโรงพยาบาลสัตว์(ศรีบัวบาน)</v>
      </c>
      <c r="F94" s="20" t="s">
        <v>141</v>
      </c>
      <c r="G94" s="20" t="s">
        <v>149</v>
      </c>
      <c r="H94" s="20" t="s">
        <v>156</v>
      </c>
      <c r="I94" s="38">
        <v>0</v>
      </c>
      <c r="J94" s="38">
        <v>0</v>
      </c>
      <c r="K94" s="38">
        <f>ประมาณการรายจ่ายกับรายจ่ายจริงแ!B12</f>
        <v>500000</v>
      </c>
      <c r="L94" s="21" t="s">
        <v>124</v>
      </c>
    </row>
    <row r="95" spans="1:12" x14ac:dyDescent="0.15">
      <c r="A95" s="19">
        <v>69</v>
      </c>
      <c r="B95" s="20" t="s">
        <v>145</v>
      </c>
      <c r="C95" s="20"/>
      <c r="D95" s="20">
        <v>0</v>
      </c>
      <c r="E95" s="20" t="str">
        <f>ประมาณการรายจ่ายกับรายจ่ายจริงแ!A12</f>
        <v>สำนักงานโรงพยาบาลสัตว์(ศรีบัวบาน)</v>
      </c>
      <c r="F95" s="20" t="s">
        <v>141</v>
      </c>
      <c r="G95" s="20" t="s">
        <v>149</v>
      </c>
      <c r="H95" s="20" t="s">
        <v>157</v>
      </c>
      <c r="I95" s="38">
        <v>0</v>
      </c>
      <c r="J95" s="38">
        <v>0</v>
      </c>
      <c r="K95" s="38">
        <f>ประมาณการรายจ่ายกับรายจ่ายจริงแ!C12</f>
        <v>0</v>
      </c>
      <c r="L95" s="21" t="s">
        <v>124</v>
      </c>
    </row>
    <row r="96" spans="1:12" x14ac:dyDescent="0.15">
      <c r="A96" s="19">
        <v>69</v>
      </c>
      <c r="B96" s="20" t="s">
        <v>145</v>
      </c>
      <c r="C96" s="20"/>
      <c r="D96" s="20">
        <v>0</v>
      </c>
      <c r="E96" s="20" t="s">
        <v>146</v>
      </c>
      <c r="F96" s="20" t="s">
        <v>73</v>
      </c>
      <c r="G96" s="20" t="s">
        <v>46</v>
      </c>
      <c r="H96" s="20" t="s">
        <v>73</v>
      </c>
      <c r="I96" s="38">
        <v>0</v>
      </c>
      <c r="J96" s="38">
        <v>0</v>
      </c>
      <c r="K96" s="38">
        <f>งบประมาณแผ่นดิน!B2</f>
        <v>207098179</v>
      </c>
      <c r="L96" s="21" t="s">
        <v>127</v>
      </c>
    </row>
    <row r="97" spans="1:12" x14ac:dyDescent="0.15">
      <c r="A97" s="22">
        <v>69</v>
      </c>
      <c r="B97" s="23" t="s">
        <v>145</v>
      </c>
      <c r="C97" s="23"/>
      <c r="D97" s="23">
        <v>0</v>
      </c>
      <c r="E97" s="23" t="s">
        <v>146</v>
      </c>
      <c r="F97" s="23" t="s">
        <v>73</v>
      </c>
      <c r="G97" s="23" t="s">
        <v>46</v>
      </c>
      <c r="H97" s="23" t="s">
        <v>74</v>
      </c>
      <c r="I97" s="39">
        <v>0</v>
      </c>
      <c r="J97" s="39">
        <v>0</v>
      </c>
      <c r="K97" s="39">
        <f>งบประมาณแผ่นดิน!C2</f>
        <v>89248624</v>
      </c>
      <c r="L97" s="24" t="s">
        <v>127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showGridLines="0" zoomScale="125" workbookViewId="0">
      <selection activeCell="J4" sqref="J4"/>
    </sheetView>
  </sheetViews>
  <sheetFormatPr baseColWidth="10" defaultColWidth="8.83203125" defaultRowHeight="13" x14ac:dyDescent="0.15"/>
  <cols>
    <col min="1" max="3" width="18" customWidth="1"/>
    <col min="4" max="7" width="15" customWidth="1"/>
    <col min="8" max="11" width="18" customWidth="1"/>
  </cols>
  <sheetData>
    <row r="1" spans="1:11" ht="30" customHeight="1" x14ac:dyDescent="0.15">
      <c r="A1" s="78" t="s">
        <v>158</v>
      </c>
      <c r="B1" s="78" t="s">
        <v>158</v>
      </c>
      <c r="C1" s="78" t="s">
        <v>158</v>
      </c>
      <c r="D1" s="78" t="s">
        <v>158</v>
      </c>
      <c r="E1" s="78" t="s">
        <v>158</v>
      </c>
      <c r="F1" s="78" t="s">
        <v>158</v>
      </c>
      <c r="G1" s="78" t="s">
        <v>158</v>
      </c>
      <c r="H1" s="78" t="s">
        <v>158</v>
      </c>
      <c r="I1" s="78" t="s">
        <v>158</v>
      </c>
      <c r="J1" s="78" t="s">
        <v>158</v>
      </c>
    </row>
    <row r="3" spans="1:11" ht="26" customHeight="1" x14ac:dyDescent="0.15">
      <c r="A3" s="13" t="s">
        <v>159</v>
      </c>
      <c r="B3" s="15" t="s">
        <v>71</v>
      </c>
      <c r="D3" s="13" t="s">
        <v>160</v>
      </c>
      <c r="E3" s="14" t="s">
        <v>148</v>
      </c>
      <c r="F3" s="14" t="s">
        <v>149</v>
      </c>
      <c r="G3" s="15" t="s">
        <v>63</v>
      </c>
      <c r="I3" s="13" t="s">
        <v>161</v>
      </c>
      <c r="J3" s="14" t="s">
        <v>141</v>
      </c>
      <c r="K3" s="15" t="s">
        <v>142</v>
      </c>
    </row>
    <row r="4" spans="1:11" x14ac:dyDescent="0.15">
      <c r="A4" s="16" t="s">
        <v>61</v>
      </c>
      <c r="B4" s="40">
        <f>IFERROR(SUMIFS(Data_Clean!$K$3:$K$1000,Data_Clean!$H$3:$H$1000,"Revenue",Data_Clean!$A$3:$A$1000,Config!$B$4,Data_Clean!$B$3:$B$1000,Config!$B$5,Data_Clean!$E$3:$E$1000,Config!$B$6),0)</f>
        <v>73281544</v>
      </c>
      <c r="D4" s="16" t="s">
        <v>12</v>
      </c>
      <c r="E4" s="94">
        <f>รายรับรายจ่ายกำไร!B5</f>
        <v>90260853</v>
      </c>
      <c r="F4" s="17">
        <f>รายรับรายจ่ายกำไร!C5</f>
        <v>84229576</v>
      </c>
      <c r="G4" s="18">
        <f>รายรับรายจ่ายกำไร!D5</f>
        <v>6031277</v>
      </c>
      <c r="I4" s="16" t="s">
        <v>148</v>
      </c>
      <c r="J4" s="17">
        <f>ประมาณการรายรับกับรายรับจริง_รว!B2</f>
        <v>171825100</v>
      </c>
      <c r="K4" s="18">
        <f>ประมาณการรายรับกับรายรับจริง_รว!C2</f>
        <v>73281544</v>
      </c>
    </row>
    <row r="5" spans="1:11" x14ac:dyDescent="0.15">
      <c r="A5" s="19" t="s">
        <v>62</v>
      </c>
      <c r="B5" s="41">
        <f>IFERROR(SUMIFS(Data_Clean!$K$3:$K$1000,Data_Clean!$H$3:$H$1000,"Expense",Data_Clean!$A$3:$A$1000,Config!$B$4,Data_Clean!$B$3:$B$1000,Config!$B$5,Data_Clean!$E$3:$E$1000,Config!$B$6),0)</f>
        <v>57694327</v>
      </c>
      <c r="D5" s="19" t="s">
        <v>10</v>
      </c>
      <c r="E5" s="20">
        <f>รายรับรายจ่ายกำไร!B4</f>
        <v>131408229</v>
      </c>
      <c r="F5" s="20">
        <f>รายรับรายจ่ายกำไร!C4</f>
        <v>127865373</v>
      </c>
      <c r="G5" s="21">
        <f>รายรับรายจ่ายกำไร!D4</f>
        <v>3542856</v>
      </c>
      <c r="I5" s="22" t="s">
        <v>149</v>
      </c>
      <c r="J5" s="23">
        <f>ประมาณการรายจ่ายกับรายจ่ายจริงร!B2</f>
        <v>165565500</v>
      </c>
      <c r="K5" s="24">
        <f>ประมาณการรายจ่ายกับรายจ่ายจริงร!C2</f>
        <v>57694327</v>
      </c>
    </row>
    <row r="6" spans="1:11" x14ac:dyDescent="0.15">
      <c r="A6" s="19" t="s">
        <v>63</v>
      </c>
      <c r="B6" s="41">
        <f>B4-B5</f>
        <v>15587217</v>
      </c>
      <c r="D6" s="19" t="s">
        <v>8</v>
      </c>
      <c r="E6" s="20">
        <f>รายรับรายจ่ายกำไร!B3</f>
        <v>46683658</v>
      </c>
      <c r="F6" s="20">
        <f>รายรับรายจ่ายกำไร!C3</f>
        <v>51712260</v>
      </c>
      <c r="G6" s="21">
        <f>รายรับรายจ่ายกำไร!D3</f>
        <v>-5028602</v>
      </c>
    </row>
    <row r="7" spans="1:11" x14ac:dyDescent="0.15">
      <c r="A7" s="19" t="s">
        <v>64</v>
      </c>
      <c r="B7" s="35">
        <f>IFERROR(B6/B4,0)</f>
        <v>0.21270317393967572</v>
      </c>
      <c r="D7" s="22" t="s">
        <v>6</v>
      </c>
      <c r="E7" s="23">
        <f>รายรับรายจ่ายกำไร!B2</f>
        <v>73281544</v>
      </c>
      <c r="F7" s="23">
        <f>รายรับรายจ่ายกำไร!C2</f>
        <v>57694327</v>
      </c>
      <c r="G7" s="24">
        <f>รายรับรายจ่ายกำไร!D2</f>
        <v>15587217</v>
      </c>
    </row>
    <row r="8" spans="1:11" x14ac:dyDescent="0.15">
      <c r="A8" s="19" t="s">
        <v>162</v>
      </c>
      <c r="B8" s="35">
        <f>IFERROR(B5/B4,0)</f>
        <v>0.78729682606032425</v>
      </c>
    </row>
    <row r="9" spans="1:11" x14ac:dyDescent="0.15">
      <c r="A9" s="19" t="s">
        <v>60</v>
      </c>
      <c r="B9" s="35">
        <f>IFERROR(SUMIFS(Data_Clean!$K$3:$K$1000,Data_Clean!$H$3:$H$1000,"Liquidity",Data_Clean!$A$3:$A$1000,Config!$B$4,Data_Clean!$B$3:$B$1000,Config!$B$5),0)</f>
        <v>0.35268405462033092</v>
      </c>
    </row>
    <row r="10" spans="1:11" x14ac:dyDescent="0.15">
      <c r="A10" s="19" t="s">
        <v>154</v>
      </c>
      <c r="B10" s="41">
        <f>IFERROR(SUMIFS(Data_Clean!$K$3:$K$1000,Data_Clean!$H$3:$H$1000,"Revenue Budget",Data_Clean!$A$3:$A$1000,Config!$B$4,Data_Clean!$B$3:$B$1000,Config!$B$5),0)</f>
        <v>171677900</v>
      </c>
    </row>
    <row r="11" spans="1:11" x14ac:dyDescent="0.15">
      <c r="A11" s="19" t="s">
        <v>155</v>
      </c>
      <c r="B11" s="41">
        <f>IFERROR(SUMIFS(Data_Clean!$K$3:$K$1000,Data_Clean!$H$3:$H$1000,"Revenue Actual",Data_Clean!$A$3:$A$1000,Config!$B$4,Data_Clean!$B$3:$B$1000,Config!$B$5),0)</f>
        <v>73281076</v>
      </c>
    </row>
    <row r="12" spans="1:11" x14ac:dyDescent="0.15">
      <c r="A12" s="19" t="s">
        <v>163</v>
      </c>
      <c r="B12" s="35">
        <f>IFERROR(B11/B10,0)</f>
        <v>0.42685212249217869</v>
      </c>
    </row>
    <row r="13" spans="1:11" x14ac:dyDescent="0.15">
      <c r="A13" s="19" t="s">
        <v>156</v>
      </c>
      <c r="B13" s="41">
        <f>IFERROR(SUMIFS(Data_Clean!$K$3:$K$1000,Data_Clean!$H$3:$H$1000,"Expense Budget",Data_Clean!$A$3:$A$1000,Config!$B$4,Data_Clean!$B$3:$B$1000,Config!$B$5),0)</f>
        <v>165295300</v>
      </c>
    </row>
    <row r="14" spans="1:11" x14ac:dyDescent="0.15">
      <c r="A14" s="19" t="s">
        <v>157</v>
      </c>
      <c r="B14" s="41">
        <f>IFERROR(SUMIFS(Data_Clean!$K$3:$K$1000,Data_Clean!$H$3:$H$1000,"Expense Actual",Data_Clean!$A$3:$A$1000,Config!$B$4,Data_Clean!$B$3:$B$1000,Config!$B$5),0)</f>
        <v>57694326</v>
      </c>
    </row>
    <row r="15" spans="1:11" x14ac:dyDescent="0.15">
      <c r="A15" s="19" t="s">
        <v>164</v>
      </c>
      <c r="B15" s="35">
        <f>IFERROR(B14/B13,0)</f>
        <v>0.34903790972883075</v>
      </c>
    </row>
    <row r="16" spans="1:11" x14ac:dyDescent="0.15">
      <c r="A16" s="22" t="s">
        <v>165</v>
      </c>
      <c r="B16" s="36">
        <f>IFERROR(SUMIFS(Data_Clean!$K$3:$K$1000,Data_Clean!$H$3:$H$1000,"Government Actual",Data_Clean!$A$3:$A$1000,Config!$B$4,Data_Clean!$B$3:$B$1000,Config!$B$5)/SUMIFS(Data_Clean!$K$3:$K$1000,Data_Clean!$H$3:$H$1000,"Government Budget",Data_Clean!$A$3:$A$1000,Config!$B$4,Data_Clean!$B$3:$B$1000,Config!$B$5),0)</f>
        <v>0.4309483764219868</v>
      </c>
    </row>
  </sheetData>
  <mergeCells count="1">
    <mergeCell ref="A1:J1"/>
  </mergeCell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"/>
  <sheetViews>
    <sheetView showGridLines="0" zoomScale="208" workbookViewId="0">
      <selection activeCell="E5" sqref="E5"/>
    </sheetView>
  </sheetViews>
  <sheetFormatPr baseColWidth="10" defaultColWidth="8.83203125" defaultRowHeight="13" x14ac:dyDescent="0.15"/>
  <cols>
    <col min="1" max="3" width="18" customWidth="1"/>
    <col min="4" max="6" width="20" customWidth="1"/>
  </cols>
  <sheetData>
    <row r="1" spans="1:6" ht="19.25" customHeight="1" x14ac:dyDescent="0.15">
      <c r="A1" s="78" t="s">
        <v>166</v>
      </c>
      <c r="B1" s="78" t="s">
        <v>166</v>
      </c>
      <c r="C1" s="78" t="s">
        <v>166</v>
      </c>
      <c r="D1" s="78" t="s">
        <v>166</v>
      </c>
      <c r="E1" s="78" t="s">
        <v>166</v>
      </c>
      <c r="F1" s="78" t="s">
        <v>166</v>
      </c>
    </row>
    <row r="3" spans="1:6" ht="15" customHeight="1" x14ac:dyDescent="0.15">
      <c r="A3" s="13" t="s">
        <v>167</v>
      </c>
      <c r="B3" s="15" t="s">
        <v>168</v>
      </c>
      <c r="D3" s="13" t="s">
        <v>169</v>
      </c>
      <c r="E3" s="15" t="s">
        <v>170</v>
      </c>
    </row>
    <row r="4" spans="1:6" ht="15" customHeight="1" x14ac:dyDescent="0.15">
      <c r="A4" s="16" t="s">
        <v>54</v>
      </c>
      <c r="B4" s="92">
        <v>69</v>
      </c>
      <c r="D4">
        <v>68</v>
      </c>
      <c r="E4" t="s">
        <v>151</v>
      </c>
    </row>
    <row r="5" spans="1:6" ht="15" customHeight="1" x14ac:dyDescent="0.15">
      <c r="A5" s="19" t="s">
        <v>55</v>
      </c>
      <c r="B5" s="93" t="s">
        <v>145</v>
      </c>
      <c r="D5">
        <v>69</v>
      </c>
      <c r="E5" t="s">
        <v>145</v>
      </c>
    </row>
    <row r="6" spans="1:6" ht="15" customHeight="1" x14ac:dyDescent="0.15">
      <c r="A6" s="19" t="s">
        <v>56</v>
      </c>
      <c r="B6" s="21" t="s">
        <v>146</v>
      </c>
      <c r="E6" t="s">
        <v>153</v>
      </c>
    </row>
    <row r="7" spans="1:6" ht="15" customHeight="1" x14ac:dyDescent="0.15">
      <c r="A7" s="19" t="s">
        <v>171</v>
      </c>
      <c r="B7" s="34">
        <v>46216</v>
      </c>
      <c r="D7" t="s">
        <v>172</v>
      </c>
      <c r="E7" t="s">
        <v>152</v>
      </c>
    </row>
    <row r="8" spans="1:6" ht="15" customHeight="1" x14ac:dyDescent="0.15">
      <c r="A8" s="19" t="s">
        <v>173</v>
      </c>
      <c r="B8" s="35">
        <v>0.4</v>
      </c>
    </row>
    <row r="9" spans="1:6" ht="15" customHeight="1" x14ac:dyDescent="0.15">
      <c r="A9" s="19" t="s">
        <v>174</v>
      </c>
      <c r="B9" s="35">
        <v>0.5</v>
      </c>
      <c r="D9" s="13" t="s">
        <v>175</v>
      </c>
      <c r="E9" s="14"/>
      <c r="F9" s="15"/>
    </row>
    <row r="10" spans="1:6" ht="15" customHeight="1" x14ac:dyDescent="0.15">
      <c r="A10" s="19" t="s">
        <v>176</v>
      </c>
      <c r="B10" s="35">
        <v>0.9</v>
      </c>
      <c r="D10" s="81" t="s">
        <v>177</v>
      </c>
      <c r="E10" s="82"/>
      <c r="F10" s="83"/>
    </row>
    <row r="11" spans="1:6" ht="15" customHeight="1" x14ac:dyDescent="0.15">
      <c r="A11" s="22" t="s">
        <v>178</v>
      </c>
      <c r="B11" s="36">
        <v>0.85</v>
      </c>
      <c r="D11" s="84" t="s">
        <v>179</v>
      </c>
      <c r="E11" s="85"/>
      <c r="F11" s="86"/>
    </row>
    <row r="12" spans="1:6" ht="15" customHeight="1" x14ac:dyDescent="0.15">
      <c r="D12" s="87" t="s">
        <v>180</v>
      </c>
      <c r="E12" s="88"/>
      <c r="F12" s="89"/>
    </row>
  </sheetData>
  <mergeCells count="4">
    <mergeCell ref="A1:F1"/>
    <mergeCell ref="D10:F10"/>
    <mergeCell ref="D11:F11"/>
    <mergeCell ref="D12:F12"/>
  </mergeCells>
  <dataValidations count="2">
    <dataValidation type="list" sqref="B4" xr:uid="{00000000-0002-0000-0D00-000000000000}">
      <formula1>"68,69"</formula1>
    </dataValidation>
    <dataValidation type="list" sqref="B5" xr:uid="{00000000-0002-0000-0D00-000001000000}">
      <formula1>"Q1,Q2,Q3,Q4"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"/>
  <sheetViews>
    <sheetView showGridLines="0" workbookViewId="0">
      <selection activeCell="B4" sqref="B4"/>
    </sheetView>
  </sheetViews>
  <sheetFormatPr baseColWidth="10" defaultColWidth="8.83203125" defaultRowHeight="13" x14ac:dyDescent="0.15"/>
  <cols>
    <col min="1" max="1" width="25" customWidth="1"/>
    <col min="2" max="2" width="95" customWidth="1"/>
  </cols>
  <sheetData>
    <row r="1" spans="1:6" ht="19.25" customHeight="1" x14ac:dyDescent="0.15">
      <c r="A1" s="78" t="s">
        <v>181</v>
      </c>
      <c r="B1" s="78" t="s">
        <v>181</v>
      </c>
      <c r="C1" s="78" t="s">
        <v>181</v>
      </c>
      <c r="D1" s="78" t="s">
        <v>181</v>
      </c>
      <c r="E1" s="78" t="s">
        <v>181</v>
      </c>
      <c r="F1" s="78" t="s">
        <v>181</v>
      </c>
    </row>
    <row r="3" spans="1:6" ht="15" customHeight="1" x14ac:dyDescent="0.15">
      <c r="A3" s="13" t="s">
        <v>182</v>
      </c>
      <c r="B3" s="15" t="s">
        <v>183</v>
      </c>
    </row>
    <row r="4" spans="1:6" ht="15" customHeight="1" x14ac:dyDescent="0.15">
      <c r="A4" s="25" t="s">
        <v>184</v>
      </c>
      <c r="B4" s="27" t="s">
        <v>185</v>
      </c>
    </row>
    <row r="5" spans="1:6" ht="15" customHeight="1" x14ac:dyDescent="0.15">
      <c r="A5" s="28" t="s">
        <v>186</v>
      </c>
      <c r="B5" s="30" t="s">
        <v>187</v>
      </c>
    </row>
    <row r="6" spans="1:6" ht="24" customHeight="1" x14ac:dyDescent="0.15">
      <c r="A6" s="28" t="s">
        <v>188</v>
      </c>
      <c r="B6" s="30" t="s">
        <v>189</v>
      </c>
    </row>
    <row r="7" spans="1:6" ht="15" customHeight="1" x14ac:dyDescent="0.15">
      <c r="A7" s="28" t="s">
        <v>190</v>
      </c>
      <c r="B7" s="30" t="s">
        <v>191</v>
      </c>
    </row>
    <row r="8" spans="1:6" ht="24" customHeight="1" x14ac:dyDescent="0.15">
      <c r="A8" s="28" t="s">
        <v>192</v>
      </c>
      <c r="B8" s="30" t="s">
        <v>193</v>
      </c>
    </row>
    <row r="9" spans="1:6" ht="24" customHeight="1" x14ac:dyDescent="0.15">
      <c r="A9" s="28" t="s">
        <v>194</v>
      </c>
      <c r="B9" s="30" t="s">
        <v>195</v>
      </c>
    </row>
    <row r="10" spans="1:6" ht="24" customHeight="1" x14ac:dyDescent="0.15">
      <c r="A10" s="28" t="s">
        <v>196</v>
      </c>
      <c r="B10" s="30" t="s">
        <v>197</v>
      </c>
    </row>
    <row r="11" spans="1:6" ht="24" customHeight="1" x14ac:dyDescent="0.15">
      <c r="A11" s="31" t="s">
        <v>198</v>
      </c>
      <c r="B11" s="33" t="s">
        <v>199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J23"/>
  <sheetViews>
    <sheetView showGridLines="0" workbookViewId="0">
      <selection activeCell="B8" sqref="B8"/>
    </sheetView>
  </sheetViews>
  <sheetFormatPr baseColWidth="10" defaultColWidth="8.83203125" defaultRowHeight="13" x14ac:dyDescent="0.15"/>
  <cols>
    <col min="1" max="1" width="38" customWidth="1"/>
    <col min="2" max="10" width="16" customWidth="1"/>
  </cols>
  <sheetData>
    <row r="1" spans="1:10" ht="30" customHeight="1" x14ac:dyDescent="0.15">
      <c r="A1" s="78" t="s">
        <v>200</v>
      </c>
      <c r="B1" s="78" t="s">
        <v>200</v>
      </c>
      <c r="C1" s="78" t="s">
        <v>200</v>
      </c>
      <c r="D1" s="78" t="s">
        <v>200</v>
      </c>
      <c r="E1" s="78" t="s">
        <v>200</v>
      </c>
      <c r="F1" s="78" t="s">
        <v>200</v>
      </c>
      <c r="G1" s="78" t="s">
        <v>200</v>
      </c>
      <c r="H1" s="78" t="s">
        <v>200</v>
      </c>
      <c r="I1" s="78" t="s">
        <v>200</v>
      </c>
      <c r="J1" s="78" t="s">
        <v>200</v>
      </c>
    </row>
    <row r="3" spans="1:10" ht="22" customHeight="1" x14ac:dyDescent="0.15">
      <c r="A3" s="57" t="s">
        <v>201</v>
      </c>
      <c r="B3" s="57" t="s">
        <v>201</v>
      </c>
      <c r="C3" s="57" t="s">
        <v>201</v>
      </c>
      <c r="D3" s="57" t="s">
        <v>201</v>
      </c>
      <c r="E3" s="57" t="s">
        <v>201</v>
      </c>
      <c r="F3" s="57" t="s">
        <v>201</v>
      </c>
      <c r="H3" s="57" t="s">
        <v>202</v>
      </c>
      <c r="I3" s="57" t="s">
        <v>202</v>
      </c>
      <c r="J3" s="57" t="s">
        <v>202</v>
      </c>
    </row>
    <row r="4" spans="1:10" ht="26" customHeight="1" x14ac:dyDescent="0.15">
      <c r="A4" s="13" t="str">
        <f>Dashboard_Data!D3</f>
        <v>Period</v>
      </c>
      <c r="B4" s="14" t="str">
        <f>Dashboard_Data!E3</f>
        <v>Revenue</v>
      </c>
      <c r="C4" s="14" t="str">
        <f>Dashboard_Data!F3</f>
        <v>Expense</v>
      </c>
      <c r="D4" s="14" t="str">
        <f>Dashboard_Data!G3</f>
        <v>Operating Result</v>
      </c>
      <c r="E4" s="14" t="str">
        <f>"Operating Margin"</f>
        <v>Operating Margin</v>
      </c>
      <c r="F4" s="15" t="str">
        <f>"Expense/Revenue"</f>
        <v>Expense/Revenue</v>
      </c>
      <c r="H4" s="13" t="s">
        <v>70</v>
      </c>
      <c r="I4" s="14" t="s">
        <v>203</v>
      </c>
      <c r="J4" s="15" t="s">
        <v>72</v>
      </c>
    </row>
    <row r="5" spans="1:10" x14ac:dyDescent="0.15">
      <c r="A5" s="16" t="str">
        <f>Dashboard_Data!D4</f>
        <v>Q3/68</v>
      </c>
      <c r="B5" s="37">
        <f>Dashboard_Data!E4</f>
        <v>90260853</v>
      </c>
      <c r="C5" s="37">
        <f>Dashboard_Data!F4</f>
        <v>84229576</v>
      </c>
      <c r="D5" s="37">
        <f>Dashboard_Data!G4</f>
        <v>6031277</v>
      </c>
      <c r="E5" s="54">
        <f>IFERROR(D5/B5,0)</f>
        <v>6.6820518525345651E-2</v>
      </c>
      <c r="F5" s="51">
        <f>IFERROR(C5/B5,0)</f>
        <v>0.93317948147465435</v>
      </c>
      <c r="H5" s="16" t="s">
        <v>148</v>
      </c>
      <c r="I5" s="37">
        <f>Dashboard_Data!B11-Dashboard_Data!B10</f>
        <v>-98396824</v>
      </c>
      <c r="J5" s="18" t="str">
        <f>IF(I5&gt;=0,"Above plan","Below plan")</f>
        <v>Below plan</v>
      </c>
    </row>
    <row r="6" spans="1:10" x14ac:dyDescent="0.15">
      <c r="A6" s="19" t="str">
        <f>Dashboard_Data!D5</f>
        <v>Q4/68</v>
      </c>
      <c r="B6" s="38">
        <f>Dashboard_Data!E5</f>
        <v>131408229</v>
      </c>
      <c r="C6" s="38">
        <f>Dashboard_Data!F5</f>
        <v>127865373</v>
      </c>
      <c r="D6" s="38">
        <f>Dashboard_Data!G5</f>
        <v>3542856</v>
      </c>
      <c r="E6" s="52">
        <f>IFERROR(D6/B6,0)</f>
        <v>2.696068600087442E-2</v>
      </c>
      <c r="F6" s="35">
        <f>IFERROR(C6/B6,0)</f>
        <v>0.97303931399912558</v>
      </c>
      <c r="H6" s="22" t="s">
        <v>149</v>
      </c>
      <c r="I6" s="39">
        <f>Dashboard_Data!B13-Dashboard_Data!B14</f>
        <v>107600974</v>
      </c>
      <c r="J6" s="24" t="str">
        <f>IF(I6&gt;=0,"Within plan","Over plan")</f>
        <v>Within plan</v>
      </c>
    </row>
    <row r="7" spans="1:10" x14ac:dyDescent="0.15">
      <c r="A7" s="19" t="str">
        <f>Dashboard_Data!D6</f>
        <v>Q1/69</v>
      </c>
      <c r="B7" s="38">
        <f>Dashboard_Data!E6</f>
        <v>46683658</v>
      </c>
      <c r="C7" s="38">
        <f>Dashboard_Data!F6</f>
        <v>51712260</v>
      </c>
      <c r="D7" s="38">
        <f>Dashboard_Data!G6</f>
        <v>-5028602</v>
      </c>
      <c r="E7" s="52">
        <f>IFERROR(D7/B7,0)</f>
        <v>-0.10771653755153462</v>
      </c>
      <c r="F7" s="35">
        <f>IFERROR(C7/B7,0)</f>
        <v>1.1077165375515345</v>
      </c>
    </row>
    <row r="8" spans="1:10" x14ac:dyDescent="0.15">
      <c r="A8" s="22" t="str">
        <f>Dashboard_Data!D7</f>
        <v>Q2/69</v>
      </c>
      <c r="B8" s="39">
        <f>Dashboard_Data!E7</f>
        <v>73281544</v>
      </c>
      <c r="C8" s="39">
        <f>Dashboard_Data!F7</f>
        <v>57694327</v>
      </c>
      <c r="D8" s="39">
        <f>Dashboard_Data!G7</f>
        <v>15587217</v>
      </c>
      <c r="E8" s="55">
        <f>IFERROR(D8/B8,0)</f>
        <v>0.21270317393967572</v>
      </c>
      <c r="F8" s="36">
        <f>IFERROR(C8/B8,0)</f>
        <v>0.78729682606032425</v>
      </c>
    </row>
    <row r="11" spans="1:10" ht="22" customHeight="1" x14ac:dyDescent="0.15">
      <c r="A11" s="57" t="s">
        <v>204</v>
      </c>
      <c r="B11" s="57" t="s">
        <v>204</v>
      </c>
      <c r="C11" s="57" t="s">
        <v>204</v>
      </c>
      <c r="D11" s="57" t="s">
        <v>204</v>
      </c>
      <c r="E11" s="57" t="s">
        <v>204</v>
      </c>
      <c r="F11" s="57" t="s">
        <v>204</v>
      </c>
    </row>
    <row r="12" spans="1:10" ht="26" customHeight="1" x14ac:dyDescent="0.15">
      <c r="A12" s="13" t="str">
        <f>ประมาณการรายรับกับรายรับจริง_แย!A1</f>
        <v>Sub-unit (A)</v>
      </c>
      <c r="B12" s="14" t="str">
        <f>ประมาณการรายรับกับรายรับจริง_แย!B1</f>
        <v>Budgeted Revenue</v>
      </c>
      <c r="C12" s="14" t="str">
        <f>ประมาณการรายรับกับรายรับจริง_แย!C1</f>
        <v>Revenue Q2</v>
      </c>
      <c r="D12" s="14" t="str">
        <f>ประมาณการรายรับกับรายรับจริง_แย!D1</f>
        <v>Percentage(%)</v>
      </c>
      <c r="E12" s="14" t="str">
        <f>"Expense Budget"</f>
        <v>Expense Budget</v>
      </c>
      <c r="F12" s="15" t="str">
        <f>"Expense Actual"</f>
        <v>Expense Actual</v>
      </c>
    </row>
    <row r="13" spans="1:10" x14ac:dyDescent="0.15">
      <c r="A13" s="16" t="str">
        <f>ประมาณการรายรับกับรายรับจริง_แย!A2</f>
        <v>สำนักงาน คณะสัตวแพทยศาสตร์</v>
      </c>
      <c r="B13" s="37">
        <f>ประมาณการรายรับกับรายรับจริง_แย!B2</f>
        <v>28518000</v>
      </c>
      <c r="C13" s="37">
        <f>ประมาณการรายรับกับรายรับจริง_แย!C2</f>
        <v>18542474</v>
      </c>
      <c r="D13" s="54">
        <f>ประมาณการรายรับกับรายรับจริง_แย!D2</f>
        <v>0.65020246861631248</v>
      </c>
      <c r="E13" s="37">
        <f>ประมาณการรายจ่ายกับรายจ่ายจริงแ!B2</f>
        <v>29638800</v>
      </c>
      <c r="F13" s="40">
        <f>ประมาณการรายจ่ายกับรายจ่ายจริงแ!C2</f>
        <v>14354999</v>
      </c>
    </row>
    <row r="14" spans="1:10" x14ac:dyDescent="0.15">
      <c r="A14" s="19" t="str">
        <f>ประมาณการรายรับกับรายรับจริง_แย!A3</f>
        <v>ศูนย์การเรียนรู้และส่งเสริมสุขภาพสัตว์ภาคเหนือ(NOVEL)</v>
      </c>
      <c r="B14" s="38">
        <f>ประมาณการรายรับกับรายรับจริง_แย!B3</f>
        <v>114900000</v>
      </c>
      <c r="C14" s="38">
        <f>ประมาณการรายรับกับรายรับจริง_แย!C3</f>
        <v>39787921</v>
      </c>
      <c r="D14" s="52">
        <f>ประมาณการรายรับกับรายรับจริง_แย!D3</f>
        <v>0.34628303742384681</v>
      </c>
      <c r="E14" s="38">
        <f>ประมาณการรายจ่ายกับรายจ่ายจริงแ!B3</f>
        <v>110400000</v>
      </c>
      <c r="F14" s="41">
        <f>ประมาณการรายจ่ายกับรายจ่ายจริงแ!C3</f>
        <v>31034819</v>
      </c>
    </row>
    <row r="15" spans="1:10" x14ac:dyDescent="0.15">
      <c r="A15" s="19" t="str">
        <f>ประมาณการรายรับกับรายรับจริง_แย!A4</f>
        <v>(โรงพยาบาลสัตว์แม่ออน)</v>
      </c>
      <c r="B15" s="38">
        <f>ประมาณการรายรับกับรายรับจริง_แย!B4</f>
        <v>3449600</v>
      </c>
      <c r="C15" s="38">
        <f>ประมาณการรายรับกับรายรับจริง_แย!C4</f>
        <v>1762983</v>
      </c>
      <c r="D15" s="52">
        <f>ประมาณการรายรับกับรายรับจริง_แย!D4</f>
        <v>0.51106881957328387</v>
      </c>
      <c r="E15" s="38">
        <f>ประมาณการรายจ่ายกับรายจ่ายจริงแ!B4</f>
        <v>3200000</v>
      </c>
      <c r="F15" s="41">
        <f>ประมาณการรายจ่ายกับรายจ่ายจริงแ!C4</f>
        <v>1511583</v>
      </c>
    </row>
    <row r="16" spans="1:10" x14ac:dyDescent="0.15">
      <c r="A16" s="19" t="str">
        <f>ประมาณการรายรับกับรายรับจริง_แย!A5</f>
        <v>โรงพยาบาลสัตว์ใหญ่และปศุสัตว์</v>
      </c>
      <c r="B16" s="38">
        <f>ประมาณการรายรับกับรายรับจริง_แย!B5</f>
        <v>2176700</v>
      </c>
      <c r="C16" s="38">
        <f>ประมาณการรายรับกับรายรับจริง_แย!C5</f>
        <v>1008535</v>
      </c>
      <c r="D16" s="52">
        <f>ประมาณการรายรับกับรายรับจริง_แย!D5</f>
        <v>0.46333210823723986</v>
      </c>
      <c r="E16" s="38">
        <f>ประมาณการรายจ่ายกับรายจ่ายจริงแ!B5</f>
        <v>2100000</v>
      </c>
      <c r="F16" s="41">
        <f>ประมาณการรายจ่ายกับรายจ่ายจริงแ!C5</f>
        <v>1002935</v>
      </c>
    </row>
    <row r="17" spans="1:6" x14ac:dyDescent="0.15">
      <c r="A17" s="19" t="str">
        <f>ประมาณการรายรับกับรายรับจริง_แย!A6</f>
        <v>ศูนย์สุขภาพช้างและสัตว์ป่า</v>
      </c>
      <c r="B17" s="38">
        <f>ประมาณการรายรับกับรายรับจริง_แย!B6</f>
        <v>2173300</v>
      </c>
      <c r="C17" s="38">
        <f>ประมาณการรายรับกับรายรับจริง_แย!C6</f>
        <v>1044605</v>
      </c>
      <c r="D17" s="52">
        <f>ประมาณการรายรับกับรายรับจริง_แย!D6</f>
        <v>0.48065384438411635</v>
      </c>
      <c r="E17" s="38">
        <f>ประมาณการรายจ่ายกับรายจ่ายจริงแ!B6</f>
        <v>1426100</v>
      </c>
      <c r="F17" s="41">
        <f>ประมาณการรายจ่ายกับรายจ่ายจริงแ!C6</f>
        <v>396333</v>
      </c>
    </row>
    <row r="18" spans="1:6" x14ac:dyDescent="0.15">
      <c r="A18" s="19" t="str">
        <f>ประมาณการรายรับกับรายรับจริง_แย!A7</f>
        <v>ศูนย์ชันเวชศาสตร์ชันสูตรและนวัตกรรมด้านสุขภาพสัตว์</v>
      </c>
      <c r="B18" s="38">
        <f>ประมาณการรายรับกับรายรับจริง_แย!B7</f>
        <v>7074000</v>
      </c>
      <c r="C18" s="38">
        <f>ประมาณการรายรับกับรายรับจริง_แย!C7</f>
        <v>2741058</v>
      </c>
      <c r="D18" s="52">
        <f>ประมาณการรายรับกับรายรับจริง_แย!D7</f>
        <v>0.38748346055979643</v>
      </c>
      <c r="E18" s="38">
        <f>ประมาณการรายจ่ายกับรายจ่ายจริงแ!B7</f>
        <v>6366600</v>
      </c>
      <c r="F18" s="41">
        <f>ประมาณการรายจ่ายกับรายจ่ายจริงแ!C7</f>
        <v>2740822</v>
      </c>
    </row>
    <row r="19" spans="1:6" x14ac:dyDescent="0.15">
      <c r="A19" s="19" t="str">
        <f>ประมาณการรายรับกับรายรับจริง_แย!A8</f>
        <v>ศูนย์ความเป็นเลิศด้านเวชศาสตร์แมว</v>
      </c>
      <c r="B19" s="38">
        <f>ประมาณการรายรับกับรายรับจริง_แย!B8</f>
        <v>0</v>
      </c>
      <c r="C19" s="38">
        <f>ประมาณการรายรับกับรายรับจริง_แย!C8</f>
        <v>0</v>
      </c>
      <c r="D19" s="52">
        <f>ประมาณการรายรับกับรายรับจริง_แย!D8</f>
        <v>0</v>
      </c>
      <c r="E19" s="38">
        <f>ประมาณการรายจ่ายกับรายจ่ายจริงแ!B8</f>
        <v>0</v>
      </c>
      <c r="F19" s="41">
        <f>ประมาณการรายจ่ายกับรายจ่ายจริงแ!C8</f>
        <v>0</v>
      </c>
    </row>
    <row r="20" spans="1:6" x14ac:dyDescent="0.15">
      <c r="A20" s="19" t="str">
        <f>ประมาณการรายรับกับรายรับจริง_แย!A9</f>
        <v>Pet CMU (กลุ่มงานบ่มเพาะวิสาหกิจทางสัตวแพทย์)</v>
      </c>
      <c r="B20" s="38">
        <f>ประมาณการรายรับกับรายรับจริง_แย!B9</f>
        <v>7959800</v>
      </c>
      <c r="C20" s="38">
        <f>ประมาณการรายรับกับรายรับจริง_แย!C9</f>
        <v>7351957</v>
      </c>
      <c r="D20" s="52">
        <f>ประมาณการรายรับกับรายรับจริง_แย!D9</f>
        <v>0.92363589537425561</v>
      </c>
      <c r="E20" s="38">
        <f>ประมาณการรายจ่ายกับรายจ่ายจริงแ!B9</f>
        <v>7163800</v>
      </c>
      <c r="F20" s="41">
        <f>ประมาณการรายจ่ายกับรายจ่ายจริงแ!C9</f>
        <v>4155836</v>
      </c>
    </row>
    <row r="21" spans="1:6" x14ac:dyDescent="0.15">
      <c r="A21" s="19" t="str">
        <f>ประมาณการรายรับกับรายรับจริง_แย!A10</f>
        <v>ศูนย์สัตวแพทย์สาธารณสุขและอาหารปลอดภัยเอเชียแปซิฟิก</v>
      </c>
      <c r="B21" s="38">
        <f>ประมาณการรายรับกับรายรับจริง_แย!B10</f>
        <v>526500</v>
      </c>
      <c r="C21" s="38">
        <f>ประมาณการรายรับกับรายรับจริง_แย!C10</f>
        <v>11985</v>
      </c>
      <c r="D21" s="52">
        <f>ประมาณการรายรับกับรายรับจริง_แย!D10</f>
        <v>2.2763532763532764E-2</v>
      </c>
      <c r="E21" s="38">
        <f>ประมาณการรายจ่ายกับรายจ่ายจริงแ!B10</f>
        <v>500000</v>
      </c>
      <c r="F21" s="41">
        <f>ประมาณการรายจ่ายกับรายจ่ายจริงแ!C10</f>
        <v>189641</v>
      </c>
    </row>
    <row r="22" spans="1:6" x14ac:dyDescent="0.15">
      <c r="A22" s="19" t="str">
        <f>ประมาณการรายรับกับรายรับจริง_แย!A11</f>
        <v>ศูนย์เฝ้าระวังสุขภาพหนึ่งเดียว PODD</v>
      </c>
      <c r="B22" s="38">
        <f>ประมาณการรายรับกับรายรับจริง_แย!B11</f>
        <v>4200000</v>
      </c>
      <c r="C22" s="38">
        <f>ประมาณการรายรับกับรายรับจริง_แย!C11</f>
        <v>1029558</v>
      </c>
      <c r="D22" s="52">
        <f>ประมาณการรายรับกับรายรับจริง_แย!D11</f>
        <v>0.24513285714285715</v>
      </c>
      <c r="E22" s="38">
        <f>ประมาณการรายจ่ายกับรายจ่ายจริงแ!B11</f>
        <v>4000000</v>
      </c>
      <c r="F22" s="41">
        <f>ประมาณการรายจ่ายกับรายจ่ายจริงแ!C11</f>
        <v>2307358</v>
      </c>
    </row>
    <row r="23" spans="1:6" x14ac:dyDescent="0.15">
      <c r="A23" s="22" t="str">
        <f>ประมาณการรายรับกับรายรับจริง_แย!A12</f>
        <v>สำนักงานโรงพยาบาลสัตว์(ศรีบัวบาน)</v>
      </c>
      <c r="B23" s="39">
        <f>ประมาณการรายรับกับรายรับจริง_แย!B12</f>
        <v>700000</v>
      </c>
      <c r="C23" s="39">
        <f>ประมาณการรายรับกับรายรับจริง_แย!C12</f>
        <v>0</v>
      </c>
      <c r="D23" s="55">
        <f>ประมาณการรายรับกับรายรับจริง_แย!D12</f>
        <v>0</v>
      </c>
      <c r="E23" s="39">
        <f>ประมาณการรายจ่ายกับรายจ่ายจริงแ!B12</f>
        <v>500000</v>
      </c>
      <c r="F23" s="56">
        <f>ประมาณการรายจ่ายกับรายจ่ายจริงแ!C12</f>
        <v>0</v>
      </c>
    </row>
  </sheetData>
  <mergeCells count="4">
    <mergeCell ref="A1:J1"/>
    <mergeCell ref="A3:F3"/>
    <mergeCell ref="H3:J3"/>
    <mergeCell ref="A11:F1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H20"/>
  <sheetViews>
    <sheetView showGridLines="0" workbookViewId="0">
      <selection sqref="A1:H1"/>
    </sheetView>
  </sheetViews>
  <sheetFormatPr baseColWidth="10" defaultColWidth="8.83203125" defaultRowHeight="13" x14ac:dyDescent="0.15"/>
  <cols>
    <col min="1" max="1" width="42" customWidth="1"/>
    <col min="2" max="8" width="17" customWidth="1"/>
  </cols>
  <sheetData>
    <row r="1" spans="1:8" ht="30" customHeight="1" x14ac:dyDescent="0.15">
      <c r="A1" s="78" t="s">
        <v>205</v>
      </c>
      <c r="B1" s="78" t="s">
        <v>205</v>
      </c>
      <c r="C1" s="78" t="s">
        <v>205</v>
      </c>
      <c r="D1" s="78" t="s">
        <v>205</v>
      </c>
      <c r="E1" s="78" t="s">
        <v>205</v>
      </c>
      <c r="F1" s="78" t="s">
        <v>205</v>
      </c>
      <c r="G1" s="78" t="s">
        <v>205</v>
      </c>
      <c r="H1" s="78" t="s">
        <v>205</v>
      </c>
    </row>
    <row r="3" spans="1:8" ht="26" customHeight="1" x14ac:dyDescent="0.15">
      <c r="A3" s="13" t="s">
        <v>56</v>
      </c>
      <c r="B3" s="14" t="s">
        <v>148</v>
      </c>
      <c r="C3" s="14" t="s">
        <v>149</v>
      </c>
      <c r="D3" s="14" t="s">
        <v>63</v>
      </c>
      <c r="E3" s="14" t="s">
        <v>206</v>
      </c>
      <c r="F3" s="14" t="s">
        <v>154</v>
      </c>
      <c r="G3" s="14" t="s">
        <v>163</v>
      </c>
      <c r="H3" s="15" t="s">
        <v>164</v>
      </c>
    </row>
    <row r="4" spans="1:8" x14ac:dyDescent="0.15">
      <c r="A4" s="16" t="str">
        <f>รายรับรายจ่ายกำไร_ย่อย!A2</f>
        <v>สำนักงาน คณะสัตวแพทยศาสตร์</v>
      </c>
      <c r="B4" s="37">
        <f>รายรับรายจ่ายกำไร_ย่อย!B2</f>
        <v>18542474</v>
      </c>
      <c r="C4" s="37">
        <f>รายรับรายจ่ายกำไร_ย่อย!C2</f>
        <v>14354999</v>
      </c>
      <c r="D4" s="37">
        <f>รายรับรายจ่ายกำไร_ย่อย!D2</f>
        <v>4187475</v>
      </c>
      <c r="E4" s="54">
        <f t="shared" ref="E4:E14" si="0">IFERROR(D4/B4,0)</f>
        <v>0.22583151525519193</v>
      </c>
      <c r="F4" s="37">
        <f>ประมาณการรายรับกับรายรับจริง_แย!B2</f>
        <v>28518000</v>
      </c>
      <c r="G4" s="54">
        <f t="shared" ref="G4:G14" si="1">IFERROR(B4/F4,0)</f>
        <v>0.65020246861631248</v>
      </c>
      <c r="H4" s="51">
        <f>IFERROR(C4/ประมาณการรายจ่ายกับรายจ่ายจริงแ!B2,0)</f>
        <v>0.48433131570778842</v>
      </c>
    </row>
    <row r="5" spans="1:8" x14ac:dyDescent="0.15">
      <c r="A5" s="19" t="str">
        <f>รายรับรายจ่ายกำไร_ย่อย!A3</f>
        <v>ศูนย์การเรียนรู้และส่งเสริมสุขภาพสัตว์ภาคเหนือ(NOVEL)</v>
      </c>
      <c r="B5" s="38">
        <f>รายรับรายจ่ายกำไร_ย่อย!B3</f>
        <v>39787921</v>
      </c>
      <c r="C5" s="38">
        <f>รายรับรายจ่ายกำไร_ย่อย!C3</f>
        <v>31034819</v>
      </c>
      <c r="D5" s="38">
        <f>รายรับรายจ่ายกำไร_ย่อย!D3</f>
        <v>8753102</v>
      </c>
      <c r="E5" s="52">
        <f t="shared" si="0"/>
        <v>0.21999395243596667</v>
      </c>
      <c r="F5" s="38">
        <f>ประมาณการรายรับกับรายรับจริง_แย!B3</f>
        <v>114900000</v>
      </c>
      <c r="G5" s="52">
        <f t="shared" si="1"/>
        <v>0.34628303742384681</v>
      </c>
      <c r="H5" s="35">
        <f>IFERROR(C5/ประมาณการรายจ่ายกับรายจ่ายจริงแ!B3,0)</f>
        <v>0.281112490942029</v>
      </c>
    </row>
    <row r="6" spans="1:8" x14ac:dyDescent="0.15">
      <c r="A6" s="19" t="str">
        <f>รายรับรายจ่ายกำไร_ย่อย!A4</f>
        <v>(โรงพยาบาลสัตว์แม่ออน)</v>
      </c>
      <c r="B6" s="38">
        <f>รายรับรายจ่ายกำไร_ย่อย!B4</f>
        <v>1762983</v>
      </c>
      <c r="C6" s="38">
        <f>รายรับรายจ่ายกำไร_ย่อย!C4</f>
        <v>1511583</v>
      </c>
      <c r="D6" s="38">
        <f>รายรับรายจ่ายกำไร_ย่อย!D4</f>
        <v>251400</v>
      </c>
      <c r="E6" s="52">
        <f t="shared" si="0"/>
        <v>0.14259921961811317</v>
      </c>
      <c r="F6" s="38">
        <f>ประมาณการรายรับกับรายรับจริง_แย!B4</f>
        <v>3449600</v>
      </c>
      <c r="G6" s="52">
        <f t="shared" si="1"/>
        <v>0.51106881957328387</v>
      </c>
      <c r="H6" s="35">
        <f>IFERROR(C6/ประมาณการรายจ่ายกับรายจ่ายจริงแ!B4,0)</f>
        <v>0.47236968750000002</v>
      </c>
    </row>
    <row r="7" spans="1:8" x14ac:dyDescent="0.15">
      <c r="A7" s="19" t="str">
        <f>รายรับรายจ่ายกำไร_ย่อย!A5</f>
        <v>โรงพยาบาลสัตว์ใหญ่และปศุสัตว์</v>
      </c>
      <c r="B7" s="38">
        <f>รายรับรายจ่ายกำไร_ย่อย!B5</f>
        <v>1008535</v>
      </c>
      <c r="C7" s="38">
        <f>รายรับรายจ่ายกำไร_ย่อย!C5</f>
        <v>1002935</v>
      </c>
      <c r="D7" s="38">
        <f>รายรับรายจ่ายกำไร_ย่อย!D5</f>
        <v>5600</v>
      </c>
      <c r="E7" s="52">
        <f t="shared" si="0"/>
        <v>5.5526084865671491E-3</v>
      </c>
      <c r="F7" s="38">
        <f>ประมาณการรายรับกับรายรับจริง_แย!B5</f>
        <v>2176700</v>
      </c>
      <c r="G7" s="52">
        <f t="shared" si="1"/>
        <v>0.46333210823723986</v>
      </c>
      <c r="H7" s="35">
        <f>IFERROR(C7/ประมาณการรายจ่ายกับรายจ่ายจริงแ!B5,0)</f>
        <v>0.47758809523809526</v>
      </c>
    </row>
    <row r="8" spans="1:8" x14ac:dyDescent="0.15">
      <c r="A8" s="19" t="str">
        <f>รายรับรายจ่ายกำไร_ย่อย!A6</f>
        <v>ศูนย์สุขภาพช้างและสัตว์ป่า</v>
      </c>
      <c r="B8" s="38">
        <f>รายรับรายจ่ายกำไร_ย่อย!B6</f>
        <v>1044605</v>
      </c>
      <c r="C8" s="38">
        <f>รายรับรายจ่ายกำไร_ย่อย!C6</f>
        <v>396333</v>
      </c>
      <c r="D8" s="38">
        <f>รายรับรายจ่ายกำไร_ย่อย!D6</f>
        <v>648272</v>
      </c>
      <c r="E8" s="52">
        <f t="shared" si="0"/>
        <v>0.62059055815356046</v>
      </c>
      <c r="F8" s="38">
        <f>ประมาณการรายรับกับรายรับจริง_แย!B6</f>
        <v>2173300</v>
      </c>
      <c r="G8" s="52">
        <f t="shared" si="1"/>
        <v>0.48065384438411635</v>
      </c>
      <c r="H8" s="35">
        <f>IFERROR(C8/ประมาณการรายจ่ายกับรายจ่ายจริงแ!B6,0)</f>
        <v>0.27791389103148445</v>
      </c>
    </row>
    <row r="9" spans="1:8" x14ac:dyDescent="0.15">
      <c r="A9" s="19" t="str">
        <f>รายรับรายจ่ายกำไร_ย่อย!A7</f>
        <v>ศูนย์ชันเวชศาสตร์ชันสูตรและนวัตกรรมด้านสุขภาพสัตว์</v>
      </c>
      <c r="B9" s="38">
        <f>รายรับรายจ่ายกำไร_ย่อย!B7</f>
        <v>2741058</v>
      </c>
      <c r="C9" s="38">
        <f>รายรับรายจ่ายกำไร_ย่อย!C7</f>
        <v>2740822</v>
      </c>
      <c r="D9" s="38">
        <f>รายรับรายจ่ายกำไร_ย่อย!D7</f>
        <v>236</v>
      </c>
      <c r="E9" s="52">
        <f t="shared" si="0"/>
        <v>8.6098141666466008E-5</v>
      </c>
      <c r="F9" s="38">
        <f>ประมาณการรายรับกับรายรับจริง_แย!B7</f>
        <v>7074000</v>
      </c>
      <c r="G9" s="52">
        <f t="shared" si="1"/>
        <v>0.38748346055979643</v>
      </c>
      <c r="H9" s="35">
        <f>IFERROR(C9/ประมาณการรายจ่ายกับรายจ่ายจริงแ!B7,0)</f>
        <v>0.43050010994879528</v>
      </c>
    </row>
    <row r="10" spans="1:8" x14ac:dyDescent="0.15">
      <c r="A10" s="19" t="str">
        <f>รายรับรายจ่ายกำไร_ย่อย!A8</f>
        <v>ศูนย์ความเป็นเลิศด้านเวชศาสตร์แมว</v>
      </c>
      <c r="B10" s="38">
        <f>รายรับรายจ่ายกำไร_ย่อย!B8</f>
        <v>0</v>
      </c>
      <c r="C10" s="38">
        <f>รายรับรายจ่ายกำไร_ย่อย!C8</f>
        <v>0</v>
      </c>
      <c r="D10" s="38">
        <f>รายรับรายจ่ายกำไร_ย่อย!D8</f>
        <v>0</v>
      </c>
      <c r="E10" s="52">
        <f t="shared" si="0"/>
        <v>0</v>
      </c>
      <c r="F10" s="38">
        <f>ประมาณการรายรับกับรายรับจริง_แย!B8</f>
        <v>0</v>
      </c>
      <c r="G10" s="52">
        <f t="shared" si="1"/>
        <v>0</v>
      </c>
      <c r="H10" s="35">
        <f>IFERROR(C10/ประมาณการรายจ่ายกับรายจ่ายจริงแ!B8,0)</f>
        <v>0</v>
      </c>
    </row>
    <row r="11" spans="1:8" x14ac:dyDescent="0.15">
      <c r="A11" s="19" t="str">
        <f>รายรับรายจ่ายกำไร_ย่อย!A9</f>
        <v>Pet CMU (กลุ่มงานบ่มเพาะวิสาหกิจทางสัตวแพทย์)</v>
      </c>
      <c r="B11" s="38">
        <f>รายรับรายจ่ายกำไร_ย่อย!B9</f>
        <v>7351957</v>
      </c>
      <c r="C11" s="38">
        <f>รายรับรายจ่ายกำไร_ย่อย!C9</f>
        <v>4155836</v>
      </c>
      <c r="D11" s="38">
        <f>รายรับรายจ่ายกำไร_ย่อย!D9</f>
        <v>3196121</v>
      </c>
      <c r="E11" s="52">
        <f t="shared" si="0"/>
        <v>0.43473064382721499</v>
      </c>
      <c r="F11" s="38">
        <f>ประมาณการรายรับกับรายรับจริง_แย!B9</f>
        <v>7959800</v>
      </c>
      <c r="G11" s="52">
        <f t="shared" si="1"/>
        <v>0.92363589537425561</v>
      </c>
      <c r="H11" s="35">
        <f>IFERROR(C11/ประมาณการรายจ่ายกับรายจ่ายจริงแ!B9,0)</f>
        <v>0.58011613947904739</v>
      </c>
    </row>
    <row r="12" spans="1:8" x14ac:dyDescent="0.15">
      <c r="A12" s="19" t="str">
        <f>รายรับรายจ่ายกำไร_ย่อย!A10</f>
        <v>ศูนย์สัตวแพทย์สาธารณสุขและอาหารปลอดภัยเอเชียแปซิฟิก</v>
      </c>
      <c r="B12" s="38">
        <f>รายรับรายจ่ายกำไร_ย่อย!B10</f>
        <v>11985</v>
      </c>
      <c r="C12" s="38">
        <f>รายรับรายจ่ายกำไร_ย่อย!C10</f>
        <v>189641</v>
      </c>
      <c r="D12" s="38">
        <f>รายรับรายจ่ายกำไร_ย่อย!D10</f>
        <v>-177656</v>
      </c>
      <c r="E12" s="52">
        <f t="shared" si="0"/>
        <v>-14.82319566124322</v>
      </c>
      <c r="F12" s="38">
        <f>ประมาณการรายรับกับรายรับจริง_แย!B10</f>
        <v>526500</v>
      </c>
      <c r="G12" s="52">
        <f t="shared" si="1"/>
        <v>2.2763532763532764E-2</v>
      </c>
      <c r="H12" s="35">
        <f>IFERROR(C12/ประมาณการรายจ่ายกับรายจ่ายจริงแ!B10,0)</f>
        <v>0.37928200000000001</v>
      </c>
    </row>
    <row r="13" spans="1:8" x14ac:dyDescent="0.15">
      <c r="A13" s="19" t="str">
        <f>รายรับรายจ่ายกำไร_ย่อย!A11</f>
        <v>ศูนย์เฝ้าระวังสุขภาพหนึ่งเดียว PODD</v>
      </c>
      <c r="B13" s="38">
        <f>รายรับรายจ่ายกำไร_ย่อย!B11</f>
        <v>1029558</v>
      </c>
      <c r="C13" s="38">
        <f>รายรับรายจ่ายกำไร_ย่อย!C11</f>
        <v>2307358</v>
      </c>
      <c r="D13" s="38">
        <f>รายรับรายจ่ายกำไร_ย่อย!D11</f>
        <v>-1277800</v>
      </c>
      <c r="E13" s="52">
        <f t="shared" si="0"/>
        <v>-1.2411151193036234</v>
      </c>
      <c r="F13" s="38">
        <f>ประมาณการรายรับกับรายรับจริง_แย!B11</f>
        <v>4200000</v>
      </c>
      <c r="G13" s="52">
        <f t="shared" si="1"/>
        <v>0.24513285714285715</v>
      </c>
      <c r="H13" s="35">
        <f>IFERROR(C13/ประมาณการรายจ่ายกับรายจ่ายจริงแ!B11,0)</f>
        <v>0.57683949999999995</v>
      </c>
    </row>
    <row r="14" spans="1:8" x14ac:dyDescent="0.15">
      <c r="A14" s="22" t="str">
        <f>รายรับรายจ่ายกำไร_ย่อย!A12</f>
        <v>สำนักงานโรงพยาบาลสัตว์(ศรีบัวบาน)</v>
      </c>
      <c r="B14" s="39">
        <f>รายรับรายจ่ายกำไร_ย่อย!B12</f>
        <v>0</v>
      </c>
      <c r="C14" s="39">
        <f>รายรับรายจ่ายกำไร_ย่อย!C12</f>
        <v>0</v>
      </c>
      <c r="D14" s="39">
        <f>รายรับรายจ่ายกำไร_ย่อย!D12</f>
        <v>0</v>
      </c>
      <c r="E14" s="55">
        <f t="shared" si="0"/>
        <v>0</v>
      </c>
      <c r="F14" s="39">
        <f>ประมาณการรายรับกับรายรับจริง_แย!B12</f>
        <v>700000</v>
      </c>
      <c r="G14" s="55">
        <f t="shared" si="1"/>
        <v>0</v>
      </c>
      <c r="H14" s="36">
        <f>IFERROR(C14/ประมาณการรายจ่ายกับรายจ่ายจริงแ!B12,0)</f>
        <v>0</v>
      </c>
    </row>
    <row r="16" spans="1:8" ht="26" customHeight="1" x14ac:dyDescent="0.15">
      <c r="A16" s="13" t="s">
        <v>207</v>
      </c>
      <c r="B16" s="14" t="s">
        <v>56</v>
      </c>
      <c r="C16" s="14" t="s">
        <v>70</v>
      </c>
      <c r="D16" s="15" t="s">
        <v>71</v>
      </c>
    </row>
    <row r="17" spans="1:4" x14ac:dyDescent="0.15">
      <c r="A17" s="16" t="s">
        <v>208</v>
      </c>
      <c r="B17" s="17" t="str">
        <f>INDEX(A4:A14,MATCH(MAX(B4:B14),B4:B14,0))</f>
        <v>ศูนย์การเรียนรู้และส่งเสริมสุขภาพสัตว์ภาคเหนือ(NOVEL)</v>
      </c>
      <c r="C17" s="17" t="str">
        <f>"Revenue"</f>
        <v>Revenue</v>
      </c>
      <c r="D17" s="40">
        <f>MAX(B4:B14)</f>
        <v>39787921</v>
      </c>
    </row>
    <row r="18" spans="1:4" x14ac:dyDescent="0.15">
      <c r="A18" s="19" t="s">
        <v>209</v>
      </c>
      <c r="B18" s="20" t="str">
        <f>INDEX(A4:A14,MATCH(MAX(C4:C14),C4:C14,0))</f>
        <v>ศูนย์การเรียนรู้และส่งเสริมสุขภาพสัตว์ภาคเหนือ(NOVEL)</v>
      </c>
      <c r="C18" s="20" t="str">
        <f>"Expense"</f>
        <v>Expense</v>
      </c>
      <c r="D18" s="41">
        <f>MAX(C4:C14)</f>
        <v>31034819</v>
      </c>
    </row>
    <row r="19" spans="1:4" x14ac:dyDescent="0.15">
      <c r="A19" s="19" t="s">
        <v>210</v>
      </c>
      <c r="B19" s="20" t="str">
        <f>INDEX(A4:A14,MATCH(MAX(D4:D14),D4:D14,0))</f>
        <v>ศูนย์การเรียนรู้และส่งเสริมสุขภาพสัตว์ภาคเหนือ(NOVEL)</v>
      </c>
      <c r="C19" s="20" t="str">
        <f>"Operating Result"</f>
        <v>Operating Result</v>
      </c>
      <c r="D19" s="41">
        <f>MAX(D4:D14)</f>
        <v>8753102</v>
      </c>
    </row>
    <row r="20" spans="1:4" x14ac:dyDescent="0.15">
      <c r="A20" s="22" t="s">
        <v>211</v>
      </c>
      <c r="B20" s="23" t="str">
        <f>INDEX(A4:A14,MATCH(MIN(D4:D14),D4:D14,0))</f>
        <v>ศูนย์เฝ้าระวังสุขภาพหนึ่งเดียว PODD</v>
      </c>
      <c r="C20" s="23" t="str">
        <f>"Operating Result"</f>
        <v>Operating Result</v>
      </c>
      <c r="D20" s="56">
        <f>MIN(D4:D14)</f>
        <v>-1277800</v>
      </c>
    </row>
  </sheetData>
  <mergeCells count="1">
    <mergeCell ref="A1:H1"/>
  </mergeCells>
  <conditionalFormatting sqref="D4:D14">
    <cfRule type="cellIs" dxfId="0" priority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งบดุล</vt:lpstr>
      <vt:lpstr>รายรับรายจ่ายกำไร</vt:lpstr>
      <vt:lpstr>รายรับรายจ่ายกำไร_ย่อย</vt:lpstr>
      <vt:lpstr>ประมาณการรายรับกับรายรับจริง_รว</vt:lpstr>
      <vt:lpstr>ประมาณการรายรับกับรายรับจริง_แย</vt:lpstr>
      <vt:lpstr>ประมาณการรายจ่ายกับรายจ่ายจริงร</vt:lpstr>
      <vt:lpstr>ประมาณการรายจ่ายกับรายจ่ายจริงแ</vt:lpstr>
      <vt:lpstr>งบประมาณแผ่นดิน</vt:lpstr>
      <vt:lpstr>งบแผ่นดินแยกหมวด</vt:lpstr>
      <vt:lpstr>Data_Audit</vt:lpstr>
      <vt:lpstr>Data_Clean</vt:lpstr>
      <vt:lpstr>Dashboard_Data</vt:lpstr>
      <vt:lpstr>Config</vt:lpstr>
      <vt:lpstr>README</vt:lpstr>
      <vt:lpstr>Financial_Analysis</vt:lpstr>
      <vt:lpstr>Unit_Performance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PANUWAT YAMSAKUL</cp:lastModifiedBy>
  <dcterms:modified xsi:type="dcterms:W3CDTF">2026-07-13T12:30:19Z</dcterms:modified>
</cp:coreProperties>
</file>